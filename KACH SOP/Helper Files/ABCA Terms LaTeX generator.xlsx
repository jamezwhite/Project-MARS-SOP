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https://militaryhealth.sharepoint-mil.us/teams/KellerDroneProject/Shared Documents/General/"/>
    </mc:Choice>
  </mc:AlternateContent>
  <xr:revisionPtr revIDLastSave="362" documentId="8_{01045D04-4A66-4C66-816E-112BD32F92BE}" xr6:coauthVersionLast="47" xr6:coauthVersionMax="47" xr10:uidLastSave="{FB21403B-2DE9-4449-B6F8-6064678F35B6}"/>
  <bookViews>
    <workbookView xWindow="-120" yWindow="-120" windowWidth="20730" windowHeight="11040" xr2:uid="{4FBDCA09-B094-490B-801D-E9AB2EBD436F}"/>
  </bookViews>
  <sheets>
    <sheet name="Acronyms" sheetId="1" r:id="rId1"/>
    <sheet name="Terms"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45" i="2" l="1"/>
  <c r="D25" i="1"/>
  <c r="D8" i="1"/>
  <c r="E2" i="2"/>
  <c r="E3" i="2"/>
  <c r="E4" i="2"/>
  <c r="E5" i="2"/>
  <c r="E6" i="2"/>
  <c r="E7" i="2"/>
  <c r="E8" i="2"/>
  <c r="E9" i="2"/>
  <c r="E10" i="2"/>
  <c r="E11" i="2"/>
  <c r="E12" i="2"/>
  <c r="E13" i="2"/>
  <c r="E14" i="2"/>
  <c r="E15" i="2"/>
  <c r="E16" i="2"/>
  <c r="E17" i="2"/>
  <c r="E18" i="2"/>
  <c r="E19" i="2"/>
  <c r="E20" i="2"/>
  <c r="E21" i="2"/>
  <c r="E22" i="2"/>
  <c r="E23" i="2"/>
  <c r="E24" i="2"/>
  <c r="E25" i="2"/>
  <c r="E26" i="2"/>
  <c r="E27" i="2"/>
  <c r="E28" i="2"/>
  <c r="E29" i="2"/>
  <c r="E30" i="2"/>
  <c r="E31" i="2"/>
  <c r="E32" i="2"/>
  <c r="E33" i="2"/>
  <c r="E34" i="2"/>
  <c r="E35" i="2"/>
  <c r="E36" i="2"/>
  <c r="E37" i="2"/>
  <c r="E38" i="2"/>
  <c r="E39" i="2"/>
  <c r="E40" i="2"/>
  <c r="E41" i="2"/>
  <c r="E42" i="2"/>
  <c r="E43" i="2"/>
  <c r="E44" i="2"/>
  <c r="D26" i="1"/>
  <c r="D48" i="1"/>
  <c r="D40" i="1"/>
  <c r="D13" i="1"/>
  <c r="D5" i="1"/>
  <c r="D49" i="1"/>
  <c r="D16" i="1"/>
  <c r="D37" i="1"/>
  <c r="D9" i="1"/>
  <c r="D4" i="1"/>
  <c r="D2" i="1"/>
  <c r="D42" i="1"/>
  <c r="D18" i="1"/>
  <c r="D36" i="1"/>
  <c r="D39" i="1"/>
  <c r="D15" i="1"/>
  <c r="D20" i="1"/>
  <c r="D19" i="1"/>
  <c r="D11" i="1"/>
  <c r="D53" i="1"/>
  <c r="D38" i="1"/>
  <c r="D31" i="1"/>
  <c r="D34" i="1"/>
  <c r="D3" i="1"/>
  <c r="D6" i="1"/>
  <c r="D7" i="1"/>
  <c r="D10" i="1"/>
  <c r="D12" i="1"/>
  <c r="D14" i="1"/>
  <c r="D17" i="1"/>
  <c r="D21" i="1"/>
  <c r="D22" i="1"/>
  <c r="D23" i="1"/>
  <c r="D24" i="1"/>
  <c r="D27" i="1"/>
  <c r="D28" i="1"/>
  <c r="D29" i="1"/>
  <c r="D30" i="1"/>
  <c r="D32" i="1"/>
  <c r="D33" i="1"/>
  <c r="D35" i="1"/>
  <c r="D41" i="1"/>
  <c r="D43" i="1"/>
  <c r="D44" i="1"/>
  <c r="D45" i="1"/>
  <c r="D46" i="1"/>
  <c r="D47" i="1"/>
  <c r="D50" i="1"/>
  <c r="D51" i="1"/>
  <c r="D52" i="1"/>
</calcChain>
</file>

<file path=xl/sharedStrings.xml><?xml version="1.0" encoding="utf-8"?>
<sst xmlns="http://schemas.openxmlformats.org/spreadsheetml/2006/main" count="337" uniqueCount="289">
  <si>
    <t>ACM</t>
  </si>
  <si>
    <t>AGL</t>
  </si>
  <si>
    <t>AO</t>
  </si>
  <si>
    <t>ARNG</t>
  </si>
  <si>
    <t>Army National Guard</t>
  </si>
  <si>
    <t>ATC</t>
  </si>
  <si>
    <t>ATP</t>
  </si>
  <si>
    <t>C2</t>
  </si>
  <si>
    <t>COA</t>
  </si>
  <si>
    <t>Certificate of Authorization</t>
  </si>
  <si>
    <t>DoD</t>
  </si>
  <si>
    <t>Department of Defense</t>
  </si>
  <si>
    <t>EO</t>
  </si>
  <si>
    <t>FAA</t>
  </si>
  <si>
    <t>Federal Aviation Administration</t>
  </si>
  <si>
    <t>fragmentary order</t>
  </si>
  <si>
    <t>GCS</t>
  </si>
  <si>
    <t>GPS</t>
  </si>
  <si>
    <t>Global Positioning System</t>
  </si>
  <si>
    <t>ISR</t>
  </si>
  <si>
    <t>MARS</t>
  </si>
  <si>
    <t>MSL</t>
  </si>
  <si>
    <t>MT</t>
  </si>
  <si>
    <t>NAS</t>
  </si>
  <si>
    <t>NCOIC</t>
  </si>
  <si>
    <t>NOTAM</t>
  </si>
  <si>
    <t>OIC</t>
  </si>
  <si>
    <t>OPORD</t>
  </si>
  <si>
    <t>operation order</t>
  </si>
  <si>
    <t>SOP</t>
  </si>
  <si>
    <t>UA</t>
  </si>
  <si>
    <t>UAS</t>
  </si>
  <si>
    <t>UAV</t>
  </si>
  <si>
    <t>USAR</t>
  </si>
  <si>
    <t>USMA</t>
  </si>
  <si>
    <t>VO</t>
  </si>
  <si>
    <t>Short</t>
  </si>
  <si>
    <t>Long</t>
  </si>
  <si>
    <t>id</t>
  </si>
  <si>
    <t>Code</t>
  </si>
  <si>
    <t>acm</t>
  </si>
  <si>
    <t>agl</t>
  </si>
  <si>
    <t>ao</t>
  </si>
  <si>
    <t>arng</t>
  </si>
  <si>
    <t>atc</t>
  </si>
  <si>
    <t>atp</t>
  </si>
  <si>
    <t>c2</t>
  </si>
  <si>
    <t>coa</t>
  </si>
  <si>
    <t>dod</t>
  </si>
  <si>
    <t>eo</t>
  </si>
  <si>
    <t>faa</t>
  </si>
  <si>
    <t>gcs</t>
  </si>
  <si>
    <t>gps</t>
  </si>
  <si>
    <t>isr</t>
  </si>
  <si>
    <t>mars</t>
  </si>
  <si>
    <t>mou</t>
  </si>
  <si>
    <t>msl</t>
  </si>
  <si>
    <t>mt</t>
  </si>
  <si>
    <t>nas</t>
  </si>
  <si>
    <t>ncoic</t>
  </si>
  <si>
    <t>notam</t>
  </si>
  <si>
    <t>oic</t>
  </si>
  <si>
    <t>opord</t>
  </si>
  <si>
    <t>sop</t>
  </si>
  <si>
    <t>suas</t>
  </si>
  <si>
    <t>ua</t>
  </si>
  <si>
    <t>uas</t>
  </si>
  <si>
    <t>uav</t>
  </si>
  <si>
    <t>usar</t>
  </si>
  <si>
    <t>usma</t>
  </si>
  <si>
    <t>vo</t>
  </si>
  <si>
    <t>vlos</t>
  </si>
  <si>
    <t>VLOS</t>
  </si>
  <si>
    <t>Visual Line of Sight</t>
  </si>
  <si>
    <t>UAC</t>
  </si>
  <si>
    <t>KACH</t>
  </si>
  <si>
    <t>BVLOS</t>
  </si>
  <si>
    <t>OOP</t>
  </si>
  <si>
    <t>sUAS</t>
  </si>
  <si>
    <t>Medical Autonomous Resupply System</t>
  </si>
  <si>
    <t>Unmanned Aircraft</t>
  </si>
  <si>
    <t>Unmanned Aerial Vehicle</t>
  </si>
  <si>
    <t>Small Unmanned Aircraft System</t>
  </si>
  <si>
    <t>Aircrew Training Program</t>
  </si>
  <si>
    <t>Beyond Visual Line-of-Sight</t>
  </si>
  <si>
    <t>Keller Army Community Hospital</t>
  </si>
  <si>
    <t>Master Trainer</t>
  </si>
  <si>
    <t>Operations Over People</t>
  </si>
  <si>
    <t>Unmanned Aircraft Crewmember</t>
  </si>
  <si>
    <t>Unmanned Aircraft System</t>
  </si>
  <si>
    <t>United States Military Academy</t>
  </si>
  <si>
    <t>USMAPS</t>
  </si>
  <si>
    <t>United States Military Academy Prepatory School</t>
  </si>
  <si>
    <t>MCHC</t>
  </si>
  <si>
    <t>Mologne Cadet Health Clinic</t>
  </si>
  <si>
    <t>Intelligence, Surveillance, and Reconnaisance</t>
  </si>
  <si>
    <t>Air Traffic Control</t>
  </si>
  <si>
    <t>MoU</t>
  </si>
  <si>
    <t>Memorandum of Understanding</t>
  </si>
  <si>
    <t>National Airpace System</t>
  </si>
  <si>
    <t>NSUFR</t>
  </si>
  <si>
    <t>National Security UAS Flight Restriction</t>
  </si>
  <si>
    <t>TFR</t>
  </si>
  <si>
    <t>Temporary Flight Restriction</t>
  </si>
  <si>
    <t>Notice to Airmen</t>
  </si>
  <si>
    <t>Above Ground Level</t>
  </si>
  <si>
    <t>Mean Sea Level</t>
  </si>
  <si>
    <t>bvlos</t>
  </si>
  <si>
    <t>kach</t>
  </si>
  <si>
    <t>mchc</t>
  </si>
  <si>
    <t>nsufr</t>
  </si>
  <si>
    <t>oop</t>
  </si>
  <si>
    <t>tfr</t>
  </si>
  <si>
    <t>uac</t>
  </si>
  <si>
    <t>usmaps</t>
  </si>
  <si>
    <t>Officer in Charge</t>
  </si>
  <si>
    <t>Non-Commissioned Officer in Charge</t>
  </si>
  <si>
    <t>rpic</t>
  </si>
  <si>
    <t>RPIC</t>
  </si>
  <si>
    <t>Remote Pilot in Charge</t>
  </si>
  <si>
    <t>Visual Observer</t>
  </si>
  <si>
    <t>Command and Control</t>
  </si>
  <si>
    <t>Ground Control Station</t>
  </si>
  <si>
    <t>dte</t>
  </si>
  <si>
    <t>Standard Operating Procedure</t>
  </si>
  <si>
    <t>DT\&amp;E</t>
  </si>
  <si>
    <t>Developmental Test \&amp; Evaluation Flights</t>
  </si>
  <si>
    <t>FRAGO</t>
  </si>
  <si>
    <t>TFB</t>
  </si>
  <si>
    <t>Test-Flight Box</t>
  </si>
  <si>
    <t>Aircrew Member</t>
  </si>
  <si>
    <t>frago</t>
  </si>
  <si>
    <t>tfb</t>
  </si>
  <si>
    <t>Autonomous Operator</t>
  </si>
  <si>
    <t xml:space="preserve">BUQ </t>
  </si>
  <si>
    <t>Basic UAS Qualification</t>
  </si>
  <si>
    <t>buq</t>
  </si>
  <si>
    <t>qp</t>
  </si>
  <si>
    <t>QP</t>
  </si>
  <si>
    <t>Qualified Pilot</t>
  </si>
  <si>
    <t>Expert Operator</t>
  </si>
  <si>
    <t>United States Army Reserve</t>
  </si>
  <si>
    <t>name</t>
  </si>
  <si>
    <t>description</t>
  </si>
  <si>
    <t>code</t>
  </si>
  <si>
    <t>geofence</t>
  </si>
  <si>
    <t>geo-fence</t>
  </si>
  <si>
    <t>autonomousflight</t>
  </si>
  <si>
    <t>autonomous flight</t>
  </si>
  <si>
    <t>flightcorridor</t>
  </si>
  <si>
    <t>flight corridor</t>
  </si>
  <si>
    <t>aircraft</t>
  </si>
  <si>
    <t>airframe</t>
  </si>
  <si>
    <t>Visual Line of Sight (VLOS)</t>
  </si>
  <si>
    <t>Operations Over People (OOP)</t>
  </si>
  <si>
    <t>Beyond Visual Line of Sight (BVLOS)</t>
  </si>
  <si>
    <t>Part 91</t>
  </si>
  <si>
    <t>Part 107</t>
  </si>
  <si>
    <t>DoD / FAA Memorandum of Understanding (MoU)</t>
  </si>
  <si>
    <t>National Security Unmanned Aircraft System Flight Restriction (NSUFR)</t>
  </si>
  <si>
    <t>Temporary Flight Restriction (TFR)</t>
  </si>
  <si>
    <t>Notice to Airmen (NOTAM)</t>
  </si>
  <si>
    <t>automated</t>
  </si>
  <si>
    <t>Class G airspace</t>
  </si>
  <si>
    <t>controlled airspace</t>
  </si>
  <si>
    <t>drone</t>
  </si>
  <si>
    <t>Group 1 UAS</t>
  </si>
  <si>
    <t>Group 2 UAS</t>
  </si>
  <si>
    <t>Group 3 UAS</t>
  </si>
  <si>
    <t>Group 4 UAS</t>
  </si>
  <si>
    <t>manipulator of the controls</t>
  </si>
  <si>
    <t>operator</t>
  </si>
  <si>
    <t>pilot</t>
  </si>
  <si>
    <t>piloted</t>
  </si>
  <si>
    <t>remote pilot</t>
  </si>
  <si>
    <t>uncontrolled airspace</t>
  </si>
  <si>
    <t>visual observer</t>
  </si>
  <si>
    <t>Unmanned Aircraft System (UAS)</t>
  </si>
  <si>
    <t>Unmanned Aircraft (UA) / Unmanned Aerial Vehicle (UAV)</t>
  </si>
  <si>
    <t>air corridor</t>
  </si>
  <si>
    <t>Group 5 UAS</t>
  </si>
  <si>
    <t>Group (/ac{dod} UAS Classification)</t>
  </si>
  <si>
    <t>DHA</t>
  </si>
  <si>
    <t>dha</t>
  </si>
  <si>
    <t>Defense Health Agency</t>
  </si>
  <si>
    <t>srd</t>
  </si>
  <si>
    <t>SRD</t>
  </si>
  <si>
    <t>Systems Readiness Directorate</t>
  </si>
  <si>
    <t>usaasa</t>
  </si>
  <si>
    <t>USAASA</t>
  </si>
  <si>
    <t>US Army Aeronautical Services Agency</t>
  </si>
  <si>
    <t>A device that is used, or intended to be used, for flight.</t>
  </si>
  <si>
    <t>Automatic Dependent Surveillance - Broadcast (ADS-B)</t>
  </si>
  <si>
    <t>source</t>
  </si>
  <si>
    <t>Pilot's Handbook of Aeronautical Knowledge, FAA, November 2023</t>
  </si>
  <si>
    <t>The \ac{uas} group system establishes the foundation for joint \ac{uas} terminology. It provides a common reference to compare \ac{uas}. \ac{uas} are grouped based on the physical and performance characteristics of weight, operating altitude, and airspeed. \ac{uas} groups are determined without regard for payload, mission, command relationship, or Service. All \ac{uas} fall into one of five groups.</t>
  </si>
  <si>
    <t>Typically hand-launched, self contained, portable systemsemployed for a small unit or base security. They are capable of providing “overthe hill” or “around the corner” reconnaissance and surveillance. They operatewithin visual range and are analogous to radio-controlled model airplanes ascovered in AC 91-57.30. Typically weigh less than 20lbs \ac{mgtow}.</t>
  </si>
  <si>
    <t xml:space="preserve"> DoD UAS Airspace Integration Plan, 2004</t>
  </si>
  <si>
    <t>Small to medium in size and usually support brigade and intelligence, surveillance, reconnaissance, and target acquisition requirements. They usually operate from unimproved areas and launched via catapult. Payloads may include a sensor ball with electro-optic / infrared(EO/IR) and laser range finder/designator (LRF/D) capability. They typically perform special purpose operations or routine operations within a specific set of restrictions. Typically weigh between 21lbs and 55lbs \ac{mgtow}.</t>
  </si>
  <si>
    <t>Operate at medium altitudes with medium to long range and endurance. Their payloads may include a sensor ball with EO/IR, LRF/D,signal intelligence (SIGINT), communications relay, and chemical biological radiological nuclear explosive (CBRNE) detection. They usually operate from unimproved areas and may not require an improved runway. Typically weigh more than 55lbs, but less than 1320lbs \ac{mgtow}.</t>
  </si>
  <si>
    <t>Relatively large UAS that operate at medium to high altitudes and have extended range and endurance. They normally require improved areas for launch and recovery, beyond line-of-sight (BLOS) communications, andhave stringent airspace operations requirements. Payloads may include EO/IR sensors, radars, lasers, communications relay, SIGINT, Automatic Identification System (AIS), and weapons. Typically weigh more than 1320lbs \ac{mgtow}.</t>
  </si>
  <si>
    <t>Airspace that is uncontrolled, except when associated with a temporary control tower, and has not been designated as Class A, Class B, Class C, Class D, or Class E airspace.</t>
  </si>
  <si>
    <t>An airspace of defined dimensions within which ATC service is provided to IFR and VFR flights in accordance with the airspace classification. It includes Class A, Class B, Class C, Class D, and Class E airspace.</t>
  </si>
  <si>
    <t>flight path</t>
  </si>
  <si>
    <t>The line, course, or track along which an aircraft is flying or is intended to be flown.</t>
  </si>
  <si>
    <t>mean sea level</t>
  </si>
  <si>
    <t>The average height of the surface of the sea at a particular location for all stages of the tide over a 19-year period.</t>
  </si>
  <si>
    <t>Maximum Gross Takeoff Weight (MGTOW)</t>
  </si>
  <si>
    <t>The maximum allowable weight for takeoff, inclusive of airframe, fuel, and cargo.</t>
  </si>
  <si>
    <t>National Airspace System (NAS)</t>
  </si>
  <si>
    <t>The common network of United States airspace—air navigation facilities, equipment and services, airports or landing areas; aeronautical charts, information and services; rules, regulations and procedures, technical information; and manpower and material.</t>
  </si>
  <si>
    <t>A notice filed with an aviation authority to alert aircraft pilots of any hazards en route or at a specific location. The authority in turn provides means of disseminating relevant NOTAMs to pilots.</t>
  </si>
  <si>
    <t>Restriction to flight imposed in order to: 1. Protect persons and property in the air or on the surface from an existing or imminent flight associated hazard; 2. Provide a safe environment for the operation of disaster relief aircraft; 3. Prevent an unsafe congestion of sightseeing aircraft above an incident; 4. Protect the President, Vice President, or other public figures; and, 5. Provide a safe environment for space agency operations. Pilots are expected to check appropriate NOTAMs during flight planning when conducting flight in an area where a temporary flight restriction is in effect.</t>
  </si>
  <si>
    <t>Class G airspace that has not been designated as Class A, B, C, D, or E. It is airspace in which air traffic control has no authority or responsibility to control air traffic; however, pilots should remember there are VFR minimums which apply to this airspace.</t>
  </si>
  <si>
    <t>The operation of a UAS beyond the visual capability of the flight crew members (i.e., remote pilot in command [RPIC], the person manipulating the controls, and visual observer [VO]), if used to see the aircraft with vision unaided by any device other than corrective lenses, spectacles, and contact lenses.</t>
  </si>
  <si>
    <t>Pilot/Controller Glossary, FAA, August 2025</t>
  </si>
  <si>
    <t>Certificate or Waiver of Authorization (CoA)</t>
  </si>
  <si>
    <t>An FAA grant of approval for a specific flight operation or airspace authorization or waiver.</t>
  </si>
  <si>
    <t>Operations of small unmanned aircraft over people.</t>
  </si>
  <si>
    <t>The owner and/or remote pilot of a UAS.</t>
  </si>
  <si>
    <t>Pilot of a UAS who is not operating as a recreational flyer under 49 USC §44809, the Exception for Limited Recreational Operations of Unmanned Aircraft.</t>
  </si>
  <si>
    <t>The RPIC is directly responsible for and is the final authority as to the operation of the unmanned aircraft system.</t>
  </si>
  <si>
    <t>Remote Pilot In Command (RPIC)</t>
  </si>
  <si>
    <t>Pilot in Command (PIC)</t>
  </si>
  <si>
    <t>The pilot responsible for the operation and safety of an aircraft during flight time.</t>
  </si>
  <si>
    <t>crewmember (UAS)</t>
  </si>
  <si>
    <t>A person assigned to perform an operational duty. A UAS crewmember includes the remote pilot in command, the person manipulating the controls, and visual observers but may also include other persons as appropriate or required to ensure the safe operation of the UAS (e.g., sensor operator, ground control station operator).</t>
  </si>
  <si>
    <t>operator (UAS)</t>
  </si>
  <si>
    <t>A device used or intended to be used for flight that has no onboard pilot. This device can be any type of airplane, helicopter, airship, or powered-lift aircraft. Unmanned free balloons, moored balloons, tethered aircraft, gliders, and unmanned rockets are not considered to be a UA.</t>
  </si>
  <si>
    <t>An unmanned aircraft and its associated elements related to safe operations, which may include control stations (ground, ship, or air based), control links, support equipment, payloads, flight termination systems, and launch/recovery equipment. It consists of three elements: unmanned aircraft, control station, and data link</t>
  </si>
  <si>
    <t>Condition of operations wherein the operator maintains continuous, unaided visual contact with the unmanned aircraft</t>
  </si>
  <si>
    <t>A person who is designated by the remote pilot in command to assist the remote pilot in command and the person operating the flight controls of the small UAS (sUAS) to see and avoid other air traffic or objects aloft or on the ground.</t>
  </si>
  <si>
    <t>See \term{uas}.</t>
  </si>
  <si>
    <t>uncontrolled</t>
  </si>
  <si>
    <t>rp</t>
  </si>
  <si>
    <t>pic</t>
  </si>
  <si>
    <t>part91</t>
  </si>
  <si>
    <t>part107</t>
  </si>
  <si>
    <t>mgtow</t>
  </si>
  <si>
    <t>manipulator</t>
  </si>
  <si>
    <t>group5</t>
  </si>
  <si>
    <t>group1</t>
  </si>
  <si>
    <t>group2</t>
  </si>
  <si>
    <t>group3</t>
  </si>
  <si>
    <t>group4</t>
  </si>
  <si>
    <t>groups</t>
  </si>
  <si>
    <t>flightpath</t>
  </si>
  <si>
    <t>crewmember</t>
  </si>
  <si>
    <t>controlled</t>
  </si>
  <si>
    <t>classg</t>
  </si>
  <si>
    <t>adsb</t>
  </si>
  <si>
    <t>corridor</t>
  </si>
  <si>
    <t>The fuselage, booms, nacelles, cowlings, fairings, airfoil surfaces (including rotors but excluding propellers and rotating airfoils of engines), and landing gear of an aircraft and their accessories and controls.</t>
  </si>
  <si>
    <t>Operated by machines or computers without direct human control.</t>
  </si>
  <si>
    <t>Dictionary, Merriam-Webster, 2024</t>
  </si>
  <si>
    <t>ASTM F3269-17, ASTM International, 2017</t>
  </si>
  <si>
    <t>The operation of a /ac{uas} where a complex function makes decisions and performs actions without direct human input, enabled by a run-time assurance (RTA) architecture that safely bounds the flight behavior.</t>
  </si>
  <si>
    <t>JP 3-52, DoD, 2014</t>
  </si>
  <si>
    <t>14 CFR Subsection 1.1, US Congress, September 2025</t>
  </si>
  <si>
    <t>A defined three-dimensional airspace, of defined width, which has been set aside for flights along a particular route.</t>
  </si>
  <si>
    <t>ICAO Document 4444, International Civil Aviation Organization, 2016</t>
  </si>
  <si>
    <t>A virtual perimeter for a real-world geographic area that can be dynamically generated or correspond to a pre-set geographic boundary.</t>
  </si>
  <si>
    <t>ASTM F3002-14a, ASTM International, 2014</t>
  </si>
  <si>
    <t>AR 95-1, DA, March 2018</t>
  </si>
  <si>
    <t>A person who operates the controls of an aircraft during flight time.</t>
  </si>
  <si>
    <t xml:space="preserve"> AC 61-65H, Federal Aviation Administration, September 2018</t>
  </si>
  <si>
    <t>Temporary flight restrictions that prohibit UAS operations within specified distances of certain security sensitive facilities to address national security concerns.</t>
  </si>
  <si>
    <t>FAA UAS Data Exchange (LAANC), FAA, 2024</t>
  </si>
  <si>
    <t>The term “pilot” means an individual who has final authority and responsibility for the operation and safety of the flight or any other flight deck crew member.</t>
  </si>
  <si>
    <t>14 CFR Subsection 44921, US Congress, October 2018</t>
  </si>
  <si>
    <t>Flight of an unmanned aircraft that allows pilot intervention in the management of the flight path.</t>
  </si>
  <si>
    <t>The Federal Aviation Regulation that establishes requirements for the operation of small unmanned aircraft systems (sUAS) in the National Airspace System.</t>
  </si>
  <si>
    <t>14 CFR Part 107, US Congress, August 2016</t>
  </si>
  <si>
    <t>General operating and flight rules that apply to aircraft operations within the United States and its territories.</t>
  </si>
  <si>
    <t>14 CFR Part 91, US Congress, April 2024</t>
  </si>
  <si>
    <t>/ac{mou} between the /ac{dod} and /ac{faa} for /{uas} in the /ac{nas}, Jointly published, May 2019</t>
  </si>
  <si>
    <t>MGTOW</t>
  </si>
  <si>
    <t>Max Gross Takeoff Weight</t>
  </si>
  <si>
    <t>A function of an aircraft or vehicle that preiodically broadcasts its state vector (i.e., horizontal and vertical position, horizontal and vertical velocity) and other information.</t>
  </si>
  <si>
    <t>A restricted air route of travel specified for use by friendly aircraft and established for the purpose of preventing friendly aircraft from being fired on by friendly forces.</t>
  </si>
  <si>
    <t>a /ac{mou} between the /ac{dod} and /ac{faa} that sets forth provisions that allow for increased /ac{dod} /ac{uas} use in the /ac{nas} outside of restricted, warning, or prohibited areas. This /ac{mou} defines many collaboration methods, and lists specific requirements that the /ac{dod} and /ac{faa} must meet.</t>
  </si>
  <si>
    <t>Include the largest systems, operate at medium to high altitudes, and have the greatest range, endurance, and airspeed capabilities. They require improved areas for launch and recovery, BLOS communications, andthe most stringent airspace operations requirements. Group 5 UAS perform specialized missions such as broad area surveillance and penetrating attacks. Typically weigh more than 1320lbs \ac{mgtow}.</t>
  </si>
  <si>
    <t>awr</t>
  </si>
  <si>
    <t>AWR</t>
  </si>
  <si>
    <t>Air Worthiness Release</t>
  </si>
  <si>
    <t>mfr</t>
  </si>
  <si>
    <t>technician</t>
  </si>
  <si>
    <t>MFR</t>
  </si>
  <si>
    <t>Memorandum for Record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</si>
</sst>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0" fillId="0" borderId="0" xfId="0" applyNumberFormat="1" applyAlignment="1"/>
    <xf numFmtId="0" fontId="0" fillId="0" borderId="0" xfId="0" applyAlignment="1"/>
    <xf numFmtId="0" fontId="0" fillId="0" borderId="0" xfId="0" applyAlignment="1">
      <alignment horizontal="center"/>
    </xf>
    <xf numFmtId="0" fontId="0" fillId="0" borderId="0" xfId="0" applyAlignment="1">
      <alignment wrapText="1"/>
    </xf>
    <xf numFmtId="0" fontId="0" fillId="0" borderId="0" xfId="0" applyAlignment="1">
      <alignment horizontal="center" vertical="top"/>
    </xf>
    <xf numFmtId="0" fontId="0" fillId="0" borderId="0" xfId="0" applyAlignment="1">
      <alignment vertical="top" wrapText="1"/>
    </xf>
    <xf numFmtId="0" fontId="0" fillId="0" borderId="0" xfId="0" applyAlignment="1">
      <alignment vertical="top"/>
    </xf>
    <xf numFmtId="0" fontId="0" fillId="0" borderId="0" xfId="0" applyNumberFormat="1" applyAlignment="1">
      <alignment vertical="top" wrapText="1"/>
    </xf>
  </cellXfs>
  <cellStyles count="1">
    <cellStyle name="Normal" xfId="0" builtinId="0"/>
  </cellStyles>
  <dxfs count="7">
    <dxf>
      <numFmt numFmtId="0" formatCode="General"/>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vertical="top" textRotation="0" indent="0" justifyLastLine="0" shrinkToFit="0" readingOrder="0"/>
    </dxf>
    <dxf>
      <numFmt numFmtId="0" formatCode="General"/>
      <alignment horizontal="general"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5CA7744-EA30-45E5-AC1F-C2029092D9E8}" name="acro" displayName="acro" ref="A1:D53" totalsRowShown="0">
  <autoFilter ref="A1:D53" xr:uid="{35CA7744-EA30-45E5-AC1F-C2029092D9E8}"/>
  <sortState xmlns:xlrd2="http://schemas.microsoft.com/office/spreadsheetml/2017/richdata2" ref="A2:D53">
    <sortCondition ref="B1:B53"/>
  </sortState>
  <tableColumns count="4">
    <tableColumn id="1" xr3:uid="{C19351A4-0B4F-454B-B89F-42992F4997EB}" name="id"/>
    <tableColumn id="2" xr3:uid="{9D823ED4-3FE5-49B7-AABF-266EB0829C1A}" name="Short"/>
    <tableColumn id="3" xr3:uid="{A7786B89-8EB7-439A-AB89-F9E992021A12}" name="Long"/>
    <tableColumn id="4" xr3:uid="{5C1B010E-1550-4DAB-9B60-E3BEC434474C}" name="Code" dataDxfId="6">
      <calculatedColumnFormula>_xlfn.CONCAT("\DeclareAcronym{",acro[[#This Row],[id]],"}{",CHAR(10),CHAR(9),"short = {",acro[[#This Row],[Short]],"} ,",CHAR(10),CHAR(9),"long = {",acro[[#This Row],[Long]],"}",CHAR(10),"}",CHAR(10))</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9CDE079-340F-42DC-BDA2-E4D9302BB77C}" name="Terms" displayName="Terms" ref="A1:E45" totalsRowShown="0" dataDxfId="5">
  <autoFilter ref="A1:E45" xr:uid="{F9CDE079-340F-42DC-BDA2-E4D9302BB77C}"/>
  <sortState xmlns:xlrd2="http://schemas.microsoft.com/office/spreadsheetml/2017/richdata2" ref="A2:E44">
    <sortCondition ref="B1:B44"/>
  </sortState>
  <tableColumns count="5">
    <tableColumn id="1" xr3:uid="{9396D2C4-8A7A-401E-B95A-31F98A197931}" name="id" dataDxfId="4"/>
    <tableColumn id="2" xr3:uid="{18035EA0-03C4-415A-B4F4-087ED8218ECB}" name="name" dataDxfId="3"/>
    <tableColumn id="3" xr3:uid="{93860356-14D1-4854-A7A9-22FF0FBCE563}" name="description" dataDxfId="2"/>
    <tableColumn id="5" xr3:uid="{423A9E0A-7326-4CF4-889D-20B7F09E02B1}" name="source" dataDxfId="1"/>
    <tableColumn id="4" xr3:uid="{FDA15780-4D37-4E90-9AD3-325CF40E33EF}" name="code" dataDxfId="0">
      <calculatedColumnFormula>_xlfn.CONCAT("\newglossaryentry{",Terms[[#This Row],[id]],"}{",CHAR(10),CHAR(9),"name = {",Terms[[#This Row],[name]],"} ,",CHAR(10),CHAR(9),"description = {",Terms[[#This Row],[description]],CHAR(10),CHAR(9),"\glspar\hfill\textit{Source: ",Terms[[#This Row],[source]],"}}}",CHAR(10))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CFB814-8CCB-4C81-AF20-D3FC4ECB76AB}">
  <dimension ref="A1:D53"/>
  <sheetViews>
    <sheetView tabSelected="1" workbookViewId="0">
      <pane xSplit="2" ySplit="1" topLeftCell="C2" activePane="bottomRight" state="frozen"/>
      <selection pane="topRight" activeCell="C1" sqref="C1"/>
      <selection pane="bottomLeft" activeCell="A2" sqref="A2"/>
      <selection pane="bottomRight" activeCell="D2" sqref="D2:D53"/>
    </sheetView>
  </sheetViews>
  <sheetFormatPr defaultRowHeight="15" x14ac:dyDescent="0.25"/>
  <cols>
    <col min="1" max="1" width="23.5703125" bestFit="1" customWidth="1"/>
    <col min="2" max="2" width="8.140625" bestFit="1" customWidth="1"/>
    <col min="3" max="3" width="44.28515625" bestFit="1" customWidth="1"/>
    <col min="4" max="4" width="154.42578125" style="2" bestFit="1" customWidth="1"/>
  </cols>
  <sheetData>
    <row r="1" spans="1:4" x14ac:dyDescent="0.25">
      <c r="A1" t="s">
        <v>38</v>
      </c>
      <c r="B1" t="s">
        <v>36</v>
      </c>
      <c r="C1" t="s">
        <v>37</v>
      </c>
      <c r="D1" s="2" t="s">
        <v>39</v>
      </c>
    </row>
    <row r="2" spans="1:4" x14ac:dyDescent="0.25">
      <c r="A2" t="s">
        <v>40</v>
      </c>
      <c r="B2" t="s">
        <v>0</v>
      </c>
      <c r="C2" t="s">
        <v>130</v>
      </c>
      <c r="D2" s="1" t="str">
        <f>_xlfn.CONCAT("\DeclareAcronym{",acro[[#This Row],[id]],"}{",CHAR(10),CHAR(9),"short = {",acro[[#This Row],[Short]],"} ,",CHAR(10),CHAR(9),"long = {",acro[[#This Row],[Long]],"}",CHAR(10),"}",CHAR(10))</f>
        <v xml:space="preserve">\DeclareAcronym{acm}{
	short = {ACM} ,
	long = {Aircrew Member}
}
</v>
      </c>
    </row>
    <row r="3" spans="1:4" x14ac:dyDescent="0.25">
      <c r="A3" t="s">
        <v>41</v>
      </c>
      <c r="B3" t="s">
        <v>1</v>
      </c>
      <c r="C3" t="s">
        <v>105</v>
      </c>
      <c r="D3" s="1" t="str">
        <f>_xlfn.CONCAT("\DeclareAcronym{",acro[[#This Row],[id]],"}{",CHAR(10),CHAR(9),"short = {",acro[[#This Row],[Short]],"} ,",CHAR(10),CHAR(9),"long = {",acro[[#This Row],[Long]],"}",CHAR(10),"}",CHAR(10))</f>
        <v xml:space="preserve">\DeclareAcronym{agl}{
	short = {AGL} ,
	long = {Above Ground Level}
}
</v>
      </c>
    </row>
    <row r="4" spans="1:4" x14ac:dyDescent="0.25">
      <c r="A4" t="s">
        <v>42</v>
      </c>
      <c r="B4" t="s">
        <v>2</v>
      </c>
      <c r="C4" t="s">
        <v>133</v>
      </c>
      <c r="D4" s="1" t="str">
        <f>_xlfn.CONCAT("\DeclareAcronym{",acro[[#This Row],[id]],"}{",CHAR(10),CHAR(9),"short = {",acro[[#This Row],[Short]],"} ,",CHAR(10),CHAR(9),"long = {",acro[[#This Row],[Long]],"}",CHAR(10),"}",CHAR(10))</f>
        <v xml:space="preserve">\DeclareAcronym{ao}{
	short = {AO} ,
	long = {Autonomous Operator}
}
</v>
      </c>
    </row>
    <row r="5" spans="1:4" x14ac:dyDescent="0.25">
      <c r="A5" t="s">
        <v>43</v>
      </c>
      <c r="B5" t="s">
        <v>3</v>
      </c>
      <c r="C5" t="s">
        <v>4</v>
      </c>
      <c r="D5" s="1" t="str">
        <f>_xlfn.CONCAT("\DeclareAcronym{",acro[[#This Row],[id]],"}{",CHAR(10),CHAR(9),"short = {",acro[[#This Row],[Short]],"} ,",CHAR(10),CHAR(9),"long = {",acro[[#This Row],[Long]],"}",CHAR(10),"}",CHAR(10))</f>
        <v xml:space="preserve">\DeclareAcronym{arng}{
	short = {ARNG} ,
	long = {Army National Guard}
}
</v>
      </c>
    </row>
    <row r="6" spans="1:4" x14ac:dyDescent="0.25">
      <c r="A6" t="s">
        <v>44</v>
      </c>
      <c r="B6" t="s">
        <v>5</v>
      </c>
      <c r="C6" t="s">
        <v>96</v>
      </c>
      <c r="D6" s="1" t="str">
        <f>_xlfn.CONCAT("\DeclareAcronym{",acro[[#This Row],[id]],"}{",CHAR(10),CHAR(9),"short = {",acro[[#This Row],[Short]],"} ,",CHAR(10),CHAR(9),"long = {",acro[[#This Row],[Long]],"}",CHAR(10),"}",CHAR(10))</f>
        <v xml:space="preserve">\DeclareAcronym{atc}{
	short = {ATC} ,
	long = {Air Traffic Control}
}
</v>
      </c>
    </row>
    <row r="7" spans="1:4" x14ac:dyDescent="0.25">
      <c r="A7" t="s">
        <v>45</v>
      </c>
      <c r="B7" t="s">
        <v>6</v>
      </c>
      <c r="C7" t="s">
        <v>83</v>
      </c>
      <c r="D7" s="2" t="str">
        <f>_xlfn.CONCAT("\DeclareAcronym{",acro[[#This Row],[id]],"}{",CHAR(10),CHAR(9),"short = {",acro[[#This Row],[Short]],"} ,",CHAR(10),CHAR(9),"long = {",acro[[#This Row],[Long]],"}",CHAR(10),"}",CHAR(10))</f>
        <v xml:space="preserve">\DeclareAcronym{atp}{
	short = {ATP} ,
	long = {Aircrew Training Program}
}
</v>
      </c>
    </row>
    <row r="8" spans="1:4" x14ac:dyDescent="0.25">
      <c r="A8" t="s">
        <v>282</v>
      </c>
      <c r="B8" t="s">
        <v>283</v>
      </c>
      <c r="C8" t="s">
        <v>284</v>
      </c>
      <c r="D8" s="1" t="str">
        <f>_xlfn.CONCAT("\DeclareAcronym{",acro[[#This Row],[id]],"}{",CHAR(10),CHAR(9),"short = {",acro[[#This Row],[Short]],"} ,",CHAR(10),CHAR(9),"long = {",acro[[#This Row],[Long]],"}",CHAR(10),"}",CHAR(10))</f>
        <v xml:space="preserve">\DeclareAcronym{awr}{
	short = {AWR} ,
	long = {Air Worthiness Release}
}
</v>
      </c>
    </row>
    <row r="9" spans="1:4" x14ac:dyDescent="0.25">
      <c r="A9" t="s">
        <v>136</v>
      </c>
      <c r="B9" t="s">
        <v>134</v>
      </c>
      <c r="C9" t="s">
        <v>135</v>
      </c>
      <c r="D9" s="1" t="str">
        <f>_xlfn.CONCAT("\DeclareAcronym{",acro[[#This Row],[id]],"}{",CHAR(10),CHAR(9),"short = {",acro[[#This Row],[Short]],"} ,",CHAR(10),CHAR(9),"long = {",acro[[#This Row],[Long]],"}",CHAR(10),"}",CHAR(10))</f>
        <v xml:space="preserve">\DeclareAcronym{buq}{
	short = {BUQ } ,
	long = {Basic UAS Qualification}
}
</v>
      </c>
    </row>
    <row r="10" spans="1:4" x14ac:dyDescent="0.25">
      <c r="A10" t="s">
        <v>107</v>
      </c>
      <c r="B10" t="s">
        <v>76</v>
      </c>
      <c r="C10" t="s">
        <v>84</v>
      </c>
      <c r="D10" s="2" t="str">
        <f>_xlfn.CONCAT("\DeclareAcronym{",acro[[#This Row],[id]],"}{",CHAR(10),CHAR(9),"short = {",acro[[#This Row],[Short]],"} ,",CHAR(10),CHAR(9),"long = {",acro[[#This Row],[Long]],"}",CHAR(10),"}",CHAR(10))</f>
        <v xml:space="preserve">\DeclareAcronym{bvlos}{
	short = {BVLOS} ,
	long = {Beyond Visual Line-of-Sight}
}
</v>
      </c>
    </row>
    <row r="11" spans="1:4" x14ac:dyDescent="0.25">
      <c r="A11" t="s">
        <v>46</v>
      </c>
      <c r="B11" t="s">
        <v>7</v>
      </c>
      <c r="C11" t="s">
        <v>121</v>
      </c>
      <c r="D11" s="1" t="str">
        <f>_xlfn.CONCAT("\DeclareAcronym{",acro[[#This Row],[id]],"}{",CHAR(10),CHAR(9),"short = {",acro[[#This Row],[Short]],"} ,",CHAR(10),CHAR(9),"long = {",acro[[#This Row],[Long]],"}",CHAR(10),"}",CHAR(10))</f>
        <v xml:space="preserve">\DeclareAcronym{c2}{
	short = {C2} ,
	long = {Command and Control}
}
</v>
      </c>
    </row>
    <row r="12" spans="1:4" x14ac:dyDescent="0.25">
      <c r="A12" t="s">
        <v>47</v>
      </c>
      <c r="B12" t="s">
        <v>8</v>
      </c>
      <c r="C12" t="s">
        <v>9</v>
      </c>
      <c r="D12" s="1" t="str">
        <f>_xlfn.CONCAT("\DeclareAcronym{",acro[[#This Row],[id]],"}{",CHAR(10),CHAR(9),"short = {",acro[[#This Row],[Short]],"} ,",CHAR(10),CHAR(9),"long = {",acro[[#This Row],[Long]],"}",CHAR(10),"}",CHAR(10))</f>
        <v xml:space="preserve">\DeclareAcronym{coa}{
	short = {COA} ,
	long = {Certificate of Authorization}
}
</v>
      </c>
    </row>
    <row r="13" spans="1:4" x14ac:dyDescent="0.25">
      <c r="A13" t="s">
        <v>183</v>
      </c>
      <c r="B13" t="s">
        <v>182</v>
      </c>
      <c r="C13" t="s">
        <v>184</v>
      </c>
      <c r="D13" s="1" t="str">
        <f>_xlfn.CONCAT("\DeclareAcronym{",acro[[#This Row],[id]],"}{",CHAR(10),CHAR(9),"short = {",acro[[#This Row],[Short]],"} ,",CHAR(10),CHAR(9),"long = {",acro[[#This Row],[Long]],"}",CHAR(10),"}",CHAR(10))</f>
        <v xml:space="preserve">\DeclareAcronym{dha}{
	short = {DHA} ,
	long = {Defense Health Agency}
}
</v>
      </c>
    </row>
    <row r="14" spans="1:4" x14ac:dyDescent="0.25">
      <c r="A14" t="s">
        <v>48</v>
      </c>
      <c r="B14" t="s">
        <v>10</v>
      </c>
      <c r="C14" t="s">
        <v>11</v>
      </c>
      <c r="D14" s="1" t="str">
        <f>_xlfn.CONCAT("\DeclareAcronym{",acro[[#This Row],[id]],"}{",CHAR(10),CHAR(9),"short = {",acro[[#This Row],[Short]],"} ,",CHAR(10),CHAR(9),"long = {",acro[[#This Row],[Long]],"}",CHAR(10),"}",CHAR(10))</f>
        <v xml:space="preserve">\DeclareAcronym{dod}{
	short = {DoD} ,
	long = {Department of Defense}
}
</v>
      </c>
    </row>
    <row r="15" spans="1:4" x14ac:dyDescent="0.25">
      <c r="A15" t="s">
        <v>123</v>
      </c>
      <c r="B15" t="s">
        <v>125</v>
      </c>
      <c r="C15" t="s">
        <v>126</v>
      </c>
      <c r="D15" s="1" t="str">
        <f>_xlfn.CONCAT("\DeclareAcronym{",acro[[#This Row],[id]],"}{",CHAR(10),CHAR(9),"short = {",acro[[#This Row],[Short]],"} ,",CHAR(10),CHAR(9),"long = {",acro[[#This Row],[Long]],"}",CHAR(10),"}",CHAR(10))</f>
        <v xml:space="preserve">\DeclareAcronym{dte}{
	short = {DT\&amp;E} ,
	long = {Developmental Test \&amp; Evaluation Flights}
}
</v>
      </c>
    </row>
    <row r="16" spans="1:4" x14ac:dyDescent="0.25">
      <c r="A16" t="s">
        <v>49</v>
      </c>
      <c r="B16" t="s">
        <v>12</v>
      </c>
      <c r="C16" t="s">
        <v>140</v>
      </c>
      <c r="D16" s="1" t="str">
        <f>_xlfn.CONCAT("\DeclareAcronym{",acro[[#This Row],[id]],"}{",CHAR(10),CHAR(9),"short = {",acro[[#This Row],[Short]],"} ,",CHAR(10),CHAR(9),"long = {",acro[[#This Row],[Long]],"}",CHAR(10),"}",CHAR(10))</f>
        <v xml:space="preserve">\DeclareAcronym{eo}{
	short = {EO} ,
	long = {Expert Operator}
}
</v>
      </c>
    </row>
    <row r="17" spans="1:4" x14ac:dyDescent="0.25">
      <c r="A17" t="s">
        <v>50</v>
      </c>
      <c r="B17" t="s">
        <v>13</v>
      </c>
      <c r="C17" t="s">
        <v>14</v>
      </c>
      <c r="D17" s="2" t="str">
        <f>_xlfn.CONCAT("\DeclareAcronym{",acro[[#This Row],[id]],"}{",CHAR(10),CHAR(9),"short = {",acro[[#This Row],[Short]],"} ,",CHAR(10),CHAR(9),"long = {",acro[[#This Row],[Long]],"}",CHAR(10),"}",CHAR(10))</f>
        <v xml:space="preserve">\DeclareAcronym{faa}{
	short = {FAA} ,
	long = {Federal Aviation Administration}
}
</v>
      </c>
    </row>
    <row r="18" spans="1:4" x14ac:dyDescent="0.25">
      <c r="A18" t="s">
        <v>131</v>
      </c>
      <c r="B18" t="s">
        <v>127</v>
      </c>
      <c r="C18" t="s">
        <v>15</v>
      </c>
      <c r="D18" s="1" t="str">
        <f>_xlfn.CONCAT("\DeclareAcronym{",acro[[#This Row],[id]],"}{",CHAR(10),CHAR(9),"short = {",acro[[#This Row],[Short]],"} ,",CHAR(10),CHAR(9),"long = {",acro[[#This Row],[Long]],"}",CHAR(10),"}",CHAR(10))</f>
        <v xml:space="preserve">\DeclareAcronym{frago}{
	short = {FRAGO} ,
	long = {fragmentary order}
}
</v>
      </c>
    </row>
    <row r="19" spans="1:4" x14ac:dyDescent="0.25">
      <c r="A19" t="s">
        <v>51</v>
      </c>
      <c r="B19" t="s">
        <v>16</v>
      </c>
      <c r="C19" t="s">
        <v>122</v>
      </c>
      <c r="D19" s="1" t="str">
        <f>_xlfn.CONCAT("\DeclareAcronym{",acro[[#This Row],[id]],"}{",CHAR(10),CHAR(9),"short = {",acro[[#This Row],[Short]],"} ,",CHAR(10),CHAR(9),"long = {",acro[[#This Row],[Long]],"}",CHAR(10),"}",CHAR(10))</f>
        <v xml:space="preserve">\DeclareAcronym{gcs}{
	short = {GCS} ,
	long = {Ground Control Station}
}
</v>
      </c>
    </row>
    <row r="20" spans="1:4" x14ac:dyDescent="0.25">
      <c r="A20" t="s">
        <v>52</v>
      </c>
      <c r="B20" t="s">
        <v>17</v>
      </c>
      <c r="C20" t="s">
        <v>18</v>
      </c>
      <c r="D20" s="1" t="str">
        <f>_xlfn.CONCAT("\DeclareAcronym{",acro[[#This Row],[id]],"}{",CHAR(10),CHAR(9),"short = {",acro[[#This Row],[Short]],"} ,",CHAR(10),CHAR(9),"long = {",acro[[#This Row],[Long]],"}",CHAR(10),"}",CHAR(10))</f>
        <v xml:space="preserve">\DeclareAcronym{gps}{
	short = {GPS} ,
	long = {Global Positioning System}
}
</v>
      </c>
    </row>
    <row r="21" spans="1:4" x14ac:dyDescent="0.25">
      <c r="A21" t="s">
        <v>53</v>
      </c>
      <c r="B21" t="s">
        <v>19</v>
      </c>
      <c r="C21" t="s">
        <v>95</v>
      </c>
      <c r="D21" s="1" t="str">
        <f>_xlfn.CONCAT("\DeclareAcronym{",acro[[#This Row],[id]],"}{",CHAR(10),CHAR(9),"short = {",acro[[#This Row],[Short]],"} ,",CHAR(10),CHAR(9),"long = {",acro[[#This Row],[Long]],"}",CHAR(10),"}",CHAR(10))</f>
        <v xml:space="preserve">\DeclareAcronym{isr}{
	short = {ISR} ,
	long = {Intelligence, Surveillance, and Reconnaisance}
}
</v>
      </c>
    </row>
    <row r="22" spans="1:4" x14ac:dyDescent="0.25">
      <c r="A22" t="s">
        <v>108</v>
      </c>
      <c r="B22" t="s">
        <v>75</v>
      </c>
      <c r="C22" t="s">
        <v>85</v>
      </c>
      <c r="D22" s="2" t="str">
        <f>_xlfn.CONCAT("\DeclareAcronym{",acro[[#This Row],[id]],"}{",CHAR(10),CHAR(9),"short = {",acro[[#This Row],[Short]],"} ,",CHAR(10),CHAR(9),"long = {",acro[[#This Row],[Long]],"}",CHAR(10),"}",CHAR(10))</f>
        <v xml:space="preserve">\DeclareAcronym{kach}{
	short = {KACH} ,
	long = {Keller Army Community Hospital}
}
</v>
      </c>
    </row>
    <row r="23" spans="1:4" x14ac:dyDescent="0.25">
      <c r="A23" t="s">
        <v>54</v>
      </c>
      <c r="B23" t="s">
        <v>20</v>
      </c>
      <c r="C23" t="s">
        <v>79</v>
      </c>
      <c r="D23" s="2" t="str">
        <f>_xlfn.CONCAT("\DeclareAcronym{",acro[[#This Row],[id]],"}{",CHAR(10),CHAR(9),"short = {",acro[[#This Row],[Short]],"} ,",CHAR(10),CHAR(9),"long = {",acro[[#This Row],[Long]],"}",CHAR(10),"}",CHAR(10))</f>
        <v xml:space="preserve">\DeclareAcronym{mars}{
	short = {MARS} ,
	long = {Medical Autonomous Resupply System}
}
</v>
      </c>
    </row>
    <row r="24" spans="1:4" x14ac:dyDescent="0.25">
      <c r="A24" t="s">
        <v>109</v>
      </c>
      <c r="B24" t="s">
        <v>93</v>
      </c>
      <c r="C24" t="s">
        <v>94</v>
      </c>
      <c r="D24" s="1" t="str">
        <f>_xlfn.CONCAT("\DeclareAcronym{",acro[[#This Row],[id]],"}{",CHAR(10),CHAR(9),"short = {",acro[[#This Row],[Short]],"} ,",CHAR(10),CHAR(9),"long = {",acro[[#This Row],[Long]],"}",CHAR(10),"}",CHAR(10))</f>
        <v xml:space="preserve">\DeclareAcronym{mchc}{
	short = {MCHC} ,
	long = {Mologne Cadet Health Clinic}
}
</v>
      </c>
    </row>
    <row r="25" spans="1:4" x14ac:dyDescent="0.25">
      <c r="A25" t="s">
        <v>285</v>
      </c>
      <c r="B25" t="s">
        <v>287</v>
      </c>
      <c r="C25" t="s">
        <v>288</v>
      </c>
      <c r="D25" s="1" t="str">
        <f>_xlfn.CONCAT("\DeclareAcronym{",acro[[#This Row],[id]],"}{",CHAR(10),CHAR(9),"short = {",acro[[#This Row],[Short]],"} ,",CHAR(10),CHAR(9),"long = {",acro[[#This Row],[Long]],"}",CHAR(10),"}",CHAR(10))</f>
        <v xml:space="preserve">\DeclareAcronym{mfr}{
	short = {MFR} ,
	long = {Memorandum for Record}
}
</v>
      </c>
    </row>
    <row r="26" spans="1:4" x14ac:dyDescent="0.25">
      <c r="A26" t="s">
        <v>238</v>
      </c>
      <c r="B26" t="s">
        <v>276</v>
      </c>
      <c r="C26" t="s">
        <v>277</v>
      </c>
      <c r="D26" s="1" t="str">
        <f>_xlfn.CONCAT("\DeclareAcronym{",acro[[#This Row],[id]],"}{",CHAR(10),CHAR(9),"short = {",acro[[#This Row],[Short]],"} ,",CHAR(10),CHAR(9),"long = {",acro[[#This Row],[Long]],"}",CHAR(10),"}",CHAR(10))</f>
        <v xml:space="preserve">\DeclareAcronym{mgtow}{
	short = {MGTOW} ,
	long = {Max Gross Takeoff Weight}
}
</v>
      </c>
    </row>
    <row r="27" spans="1:4" x14ac:dyDescent="0.25">
      <c r="A27" t="s">
        <v>55</v>
      </c>
      <c r="B27" t="s">
        <v>97</v>
      </c>
      <c r="C27" t="s">
        <v>98</v>
      </c>
      <c r="D27" s="1" t="str">
        <f>_xlfn.CONCAT("\DeclareAcronym{",acro[[#This Row],[id]],"}{",CHAR(10),CHAR(9),"short = {",acro[[#This Row],[Short]],"} ,",CHAR(10),CHAR(9),"long = {",acro[[#This Row],[Long]],"}",CHAR(10),"}",CHAR(10))</f>
        <v xml:space="preserve">\DeclareAcronym{mou}{
	short = {MoU} ,
	long = {Memorandum of Understanding}
}
</v>
      </c>
    </row>
    <row r="28" spans="1:4" x14ac:dyDescent="0.25">
      <c r="A28" t="s">
        <v>56</v>
      </c>
      <c r="B28" t="s">
        <v>21</v>
      </c>
      <c r="C28" t="s">
        <v>106</v>
      </c>
      <c r="D28" s="1" t="str">
        <f>_xlfn.CONCAT("\DeclareAcronym{",acro[[#This Row],[id]],"}{",CHAR(10),CHAR(9),"short = {",acro[[#This Row],[Short]],"} ,",CHAR(10),CHAR(9),"long = {",acro[[#This Row],[Long]],"}",CHAR(10),"}",CHAR(10))</f>
        <v xml:space="preserve">\DeclareAcronym{msl}{
	short = {MSL} ,
	long = {Mean Sea Level}
}
</v>
      </c>
    </row>
    <row r="29" spans="1:4" x14ac:dyDescent="0.25">
      <c r="A29" t="s">
        <v>57</v>
      </c>
      <c r="B29" t="s">
        <v>22</v>
      </c>
      <c r="C29" t="s">
        <v>86</v>
      </c>
      <c r="D29" s="2" t="str">
        <f>_xlfn.CONCAT("\DeclareAcronym{",acro[[#This Row],[id]],"}{",CHAR(10),CHAR(9),"short = {",acro[[#This Row],[Short]],"} ,",CHAR(10),CHAR(9),"long = {",acro[[#This Row],[Long]],"}",CHAR(10),"}",CHAR(10))</f>
        <v xml:space="preserve">\DeclareAcronym{mt}{
	short = {MT} ,
	long = {Master Trainer}
}
</v>
      </c>
    </row>
    <row r="30" spans="1:4" x14ac:dyDescent="0.25">
      <c r="A30" t="s">
        <v>58</v>
      </c>
      <c r="B30" t="s">
        <v>23</v>
      </c>
      <c r="C30" t="s">
        <v>99</v>
      </c>
      <c r="D30" s="1" t="str">
        <f>_xlfn.CONCAT("\DeclareAcronym{",acro[[#This Row],[id]],"}{",CHAR(10),CHAR(9),"short = {",acro[[#This Row],[Short]],"} ,",CHAR(10),CHAR(9),"long = {",acro[[#This Row],[Long]],"}",CHAR(10),"}",CHAR(10))</f>
        <v xml:space="preserve">\DeclareAcronym{nas}{
	short = {NAS} ,
	long = {National Airpace System}
}
</v>
      </c>
    </row>
    <row r="31" spans="1:4" x14ac:dyDescent="0.25">
      <c r="A31" t="s">
        <v>59</v>
      </c>
      <c r="B31" t="s">
        <v>24</v>
      </c>
      <c r="C31" t="s">
        <v>116</v>
      </c>
      <c r="D31" s="1" t="str">
        <f>_xlfn.CONCAT("\DeclareAcronym{",acro[[#This Row],[id]],"}{",CHAR(10),CHAR(9),"short = {",acro[[#This Row],[Short]],"} ,",CHAR(10),CHAR(9),"long = {",acro[[#This Row],[Long]],"}",CHAR(10),"}",CHAR(10))</f>
        <v xml:space="preserve">\DeclareAcronym{ncoic}{
	short = {NCOIC} ,
	long = {Non-Commissioned Officer in Charge}
}
</v>
      </c>
    </row>
    <row r="32" spans="1:4" x14ac:dyDescent="0.25">
      <c r="A32" t="s">
        <v>60</v>
      </c>
      <c r="B32" t="s">
        <v>25</v>
      </c>
      <c r="C32" t="s">
        <v>104</v>
      </c>
      <c r="D32" s="1" t="str">
        <f>_xlfn.CONCAT("\DeclareAcronym{",acro[[#This Row],[id]],"}{",CHAR(10),CHAR(9),"short = {",acro[[#This Row],[Short]],"} ,",CHAR(10),CHAR(9),"long = {",acro[[#This Row],[Long]],"}",CHAR(10),"}",CHAR(10))</f>
        <v xml:space="preserve">\DeclareAcronym{notam}{
	short = {NOTAM} ,
	long = {Notice to Airmen}
}
</v>
      </c>
    </row>
    <row r="33" spans="1:4" x14ac:dyDescent="0.25">
      <c r="A33" t="s">
        <v>110</v>
      </c>
      <c r="B33" t="s">
        <v>100</v>
      </c>
      <c r="C33" t="s">
        <v>101</v>
      </c>
      <c r="D33" s="1" t="str">
        <f>_xlfn.CONCAT("\DeclareAcronym{",acro[[#This Row],[id]],"}{",CHAR(10),CHAR(9),"short = {",acro[[#This Row],[Short]],"} ,",CHAR(10),CHAR(9),"long = {",acro[[#This Row],[Long]],"}",CHAR(10),"}",CHAR(10))</f>
        <v xml:space="preserve">\DeclareAcronym{nsufr}{
	short = {NSUFR} ,
	long = {National Security UAS Flight Restriction}
}
</v>
      </c>
    </row>
    <row r="34" spans="1:4" x14ac:dyDescent="0.25">
      <c r="A34" t="s">
        <v>61</v>
      </c>
      <c r="B34" t="s">
        <v>26</v>
      </c>
      <c r="C34" t="s">
        <v>115</v>
      </c>
      <c r="D34" s="1" t="str">
        <f>_xlfn.CONCAT("\DeclareAcronym{",acro[[#This Row],[id]],"}{",CHAR(10),CHAR(9),"short = {",acro[[#This Row],[Short]],"} ,",CHAR(10),CHAR(9),"long = {",acro[[#This Row],[Long]],"}",CHAR(10),"}",CHAR(10))</f>
        <v xml:space="preserve">\DeclareAcronym{oic}{
	short = {OIC} ,
	long = {Officer in Charge}
}
</v>
      </c>
    </row>
    <row r="35" spans="1:4" x14ac:dyDescent="0.25">
      <c r="A35" t="s">
        <v>111</v>
      </c>
      <c r="B35" t="s">
        <v>77</v>
      </c>
      <c r="C35" t="s">
        <v>87</v>
      </c>
      <c r="D35" s="2" t="str">
        <f>_xlfn.CONCAT("\DeclareAcronym{",acro[[#This Row],[id]],"}{",CHAR(10),CHAR(9),"short = {",acro[[#This Row],[Short]],"} ,",CHAR(10),CHAR(9),"long = {",acro[[#This Row],[Long]],"}",CHAR(10),"}",CHAR(10))</f>
        <v xml:space="preserve">\DeclareAcronym{oop}{
	short = {OOP} ,
	long = {Operations Over People}
}
</v>
      </c>
    </row>
    <row r="36" spans="1:4" x14ac:dyDescent="0.25">
      <c r="A36" t="s">
        <v>62</v>
      </c>
      <c r="B36" t="s">
        <v>27</v>
      </c>
      <c r="C36" t="s">
        <v>28</v>
      </c>
      <c r="D36" s="1" t="str">
        <f>_xlfn.CONCAT("\DeclareAcronym{",acro[[#This Row],[id]],"}{",CHAR(10),CHAR(9),"short = {",acro[[#This Row],[Short]],"} ,",CHAR(10),CHAR(9),"long = {",acro[[#This Row],[Long]],"}",CHAR(10),"}",CHAR(10))</f>
        <v xml:space="preserve">\DeclareAcronym{opord}{
	short = {OPORD} ,
	long = {operation order}
}
</v>
      </c>
    </row>
    <row r="37" spans="1:4" x14ac:dyDescent="0.25">
      <c r="A37" t="s">
        <v>137</v>
      </c>
      <c r="B37" t="s">
        <v>138</v>
      </c>
      <c r="C37" t="s">
        <v>139</v>
      </c>
      <c r="D37" s="1" t="str">
        <f>_xlfn.CONCAT("\DeclareAcronym{",acro[[#This Row],[id]],"}{",CHAR(10),CHAR(9),"short = {",acro[[#This Row],[Short]],"} ,",CHAR(10),CHAR(9),"long = {",acro[[#This Row],[Long]],"}",CHAR(10),"}",CHAR(10))</f>
        <v xml:space="preserve">\DeclareAcronym{qp}{
	short = {QP} ,
	long = {Qualified Pilot}
}
</v>
      </c>
    </row>
    <row r="38" spans="1:4" x14ac:dyDescent="0.25">
      <c r="A38" t="s">
        <v>117</v>
      </c>
      <c r="B38" t="s">
        <v>118</v>
      </c>
      <c r="C38" t="s">
        <v>119</v>
      </c>
      <c r="D38" s="1" t="str">
        <f>_xlfn.CONCAT("\DeclareAcronym{",acro[[#This Row],[id]],"}{",CHAR(10),CHAR(9),"short = {",acro[[#This Row],[Short]],"} ,",CHAR(10),CHAR(9),"long = {",acro[[#This Row],[Long]],"}",CHAR(10),"}",CHAR(10))</f>
        <v xml:space="preserve">\DeclareAcronym{rpic}{
	short = {RPIC} ,
	long = {Remote Pilot in Charge}
}
</v>
      </c>
    </row>
    <row r="39" spans="1:4" x14ac:dyDescent="0.25">
      <c r="A39" t="s">
        <v>63</v>
      </c>
      <c r="B39" t="s">
        <v>29</v>
      </c>
      <c r="C39" t="s">
        <v>124</v>
      </c>
      <c r="D39" s="1" t="str">
        <f>_xlfn.CONCAT("\DeclareAcronym{",acro[[#This Row],[id]],"}{",CHAR(10),CHAR(9),"short = {",acro[[#This Row],[Short]],"} ,",CHAR(10),CHAR(9),"long = {",acro[[#This Row],[Long]],"}",CHAR(10),"}",CHAR(10))</f>
        <v xml:space="preserve">\DeclareAcronym{sop}{
	short = {SOP} ,
	long = {Standard Operating Procedure}
}
</v>
      </c>
    </row>
    <row r="40" spans="1:4" x14ac:dyDescent="0.25">
      <c r="A40" t="s">
        <v>185</v>
      </c>
      <c r="B40" t="s">
        <v>186</v>
      </c>
      <c r="C40" t="s">
        <v>187</v>
      </c>
      <c r="D40" s="1" t="str">
        <f>_xlfn.CONCAT("\DeclareAcronym{",acro[[#This Row],[id]],"}{",CHAR(10),CHAR(9),"short = {",acro[[#This Row],[Short]],"} ,",CHAR(10),CHAR(9),"long = {",acro[[#This Row],[Long]],"}",CHAR(10),"}",CHAR(10))</f>
        <v xml:space="preserve">\DeclareAcronym{srd}{
	short = {SRD} ,
	long = {Systems Readiness Directorate}
}
</v>
      </c>
    </row>
    <row r="41" spans="1:4" x14ac:dyDescent="0.25">
      <c r="A41" t="s">
        <v>64</v>
      </c>
      <c r="B41" t="s">
        <v>78</v>
      </c>
      <c r="C41" t="s">
        <v>82</v>
      </c>
      <c r="D41" s="2" t="str">
        <f>_xlfn.CONCAT("\DeclareAcronym{",acro[[#This Row],[id]],"}{",CHAR(10),CHAR(9),"short = {",acro[[#This Row],[Short]],"} ,",CHAR(10),CHAR(9),"long = {",acro[[#This Row],[Long]],"}",CHAR(10),"}",CHAR(10))</f>
        <v xml:space="preserve">\DeclareAcronym{suas}{
	short = {sUAS} ,
	long = {Small Unmanned Aircraft System}
}
</v>
      </c>
    </row>
    <row r="42" spans="1:4" x14ac:dyDescent="0.25">
      <c r="A42" t="s">
        <v>132</v>
      </c>
      <c r="B42" t="s">
        <v>128</v>
      </c>
      <c r="C42" t="s">
        <v>129</v>
      </c>
      <c r="D42" s="1" t="str">
        <f>_xlfn.CONCAT("\DeclareAcronym{",acro[[#This Row],[id]],"}{",CHAR(10),CHAR(9),"short = {",acro[[#This Row],[Short]],"} ,",CHAR(10),CHAR(9),"long = {",acro[[#This Row],[Long]],"}",CHAR(10),"}",CHAR(10))</f>
        <v xml:space="preserve">\DeclareAcronym{tfb}{
	short = {TFB} ,
	long = {Test-Flight Box}
}
</v>
      </c>
    </row>
    <row r="43" spans="1:4" x14ac:dyDescent="0.25">
      <c r="A43" t="s">
        <v>112</v>
      </c>
      <c r="B43" t="s">
        <v>102</v>
      </c>
      <c r="C43" t="s">
        <v>103</v>
      </c>
      <c r="D43" s="1" t="str">
        <f>_xlfn.CONCAT("\DeclareAcronym{",acro[[#This Row],[id]],"}{",CHAR(10),CHAR(9),"short = {",acro[[#This Row],[Short]],"} ,",CHAR(10),CHAR(9),"long = {",acro[[#This Row],[Long]],"}",CHAR(10),"}",CHAR(10))</f>
        <v xml:space="preserve">\DeclareAcronym{tfr}{
	short = {TFR} ,
	long = {Temporary Flight Restriction}
}
</v>
      </c>
    </row>
    <row r="44" spans="1:4" x14ac:dyDescent="0.25">
      <c r="A44" t="s">
        <v>65</v>
      </c>
      <c r="B44" t="s">
        <v>30</v>
      </c>
      <c r="C44" t="s">
        <v>80</v>
      </c>
      <c r="D44" s="2" t="str">
        <f>_xlfn.CONCAT("\DeclareAcronym{",acro[[#This Row],[id]],"}{",CHAR(10),CHAR(9),"short = {",acro[[#This Row],[Short]],"} ,",CHAR(10),CHAR(9),"long = {",acro[[#This Row],[Long]],"}",CHAR(10),"}",CHAR(10))</f>
        <v xml:space="preserve">\DeclareAcronym{ua}{
	short = {UA} ,
	long = {Unmanned Aircraft}
}
</v>
      </c>
    </row>
    <row r="45" spans="1:4" x14ac:dyDescent="0.25">
      <c r="A45" t="s">
        <v>113</v>
      </c>
      <c r="B45" t="s">
        <v>74</v>
      </c>
      <c r="C45" t="s">
        <v>88</v>
      </c>
      <c r="D45" s="2" t="str">
        <f>_xlfn.CONCAT("\DeclareAcronym{",acro[[#This Row],[id]],"}{",CHAR(10),CHAR(9),"short = {",acro[[#This Row],[Short]],"} ,",CHAR(10),CHAR(9),"long = {",acro[[#This Row],[Long]],"}",CHAR(10),"}",CHAR(10))</f>
        <v xml:space="preserve">\DeclareAcronym{uac}{
	short = {UAC} ,
	long = {Unmanned Aircraft Crewmember}
}
</v>
      </c>
    </row>
    <row r="46" spans="1:4" x14ac:dyDescent="0.25">
      <c r="A46" t="s">
        <v>66</v>
      </c>
      <c r="B46" t="s">
        <v>31</v>
      </c>
      <c r="C46" t="s">
        <v>89</v>
      </c>
      <c r="D46" s="2" t="str">
        <f>_xlfn.CONCAT("\DeclareAcronym{",acro[[#This Row],[id]],"}{",CHAR(10),CHAR(9),"short = {",acro[[#This Row],[Short]],"} ,",CHAR(10),CHAR(9),"long = {",acro[[#This Row],[Long]],"}",CHAR(10),"}",CHAR(10))</f>
        <v xml:space="preserve">\DeclareAcronym{uas}{
	short = {UAS} ,
	long = {Unmanned Aircraft System}
}
</v>
      </c>
    </row>
    <row r="47" spans="1:4" x14ac:dyDescent="0.25">
      <c r="A47" t="s">
        <v>67</v>
      </c>
      <c r="B47" t="s">
        <v>32</v>
      </c>
      <c r="C47" t="s">
        <v>81</v>
      </c>
      <c r="D47" s="2" t="str">
        <f>_xlfn.CONCAT("\DeclareAcronym{",acro[[#This Row],[id]],"}{",CHAR(10),CHAR(9),"short = {",acro[[#This Row],[Short]],"} ,",CHAR(10),CHAR(9),"long = {",acro[[#This Row],[Long]],"}",CHAR(10),"}",CHAR(10))</f>
        <v xml:space="preserve">\DeclareAcronym{uav}{
	short = {UAV} ,
	long = {Unmanned Aerial Vehicle}
}
</v>
      </c>
    </row>
    <row r="48" spans="1:4" x14ac:dyDescent="0.25">
      <c r="A48" t="s">
        <v>188</v>
      </c>
      <c r="B48" t="s">
        <v>189</v>
      </c>
      <c r="C48" t="s">
        <v>190</v>
      </c>
      <c r="D48" s="1" t="str">
        <f>_xlfn.CONCAT("\DeclareAcronym{",acro[[#This Row],[id]],"}{",CHAR(10),CHAR(9),"short = {",acro[[#This Row],[Short]],"} ,",CHAR(10),CHAR(9),"long = {",acro[[#This Row],[Long]],"}",CHAR(10),"}",CHAR(10))</f>
        <v xml:space="preserve">\DeclareAcronym{usaasa}{
	short = {USAASA} ,
	long = {US Army Aeronautical Services Agency}
}
</v>
      </c>
    </row>
    <row r="49" spans="1:4" x14ac:dyDescent="0.25">
      <c r="A49" t="s">
        <v>68</v>
      </c>
      <c r="B49" t="s">
        <v>33</v>
      </c>
      <c r="C49" t="s">
        <v>141</v>
      </c>
      <c r="D49" s="1" t="str">
        <f>_xlfn.CONCAT("\DeclareAcronym{",acro[[#This Row],[id]],"}{",CHAR(10),CHAR(9),"short = {",acro[[#This Row],[Short]],"} ,",CHAR(10),CHAR(9),"long = {",acro[[#This Row],[Long]],"}",CHAR(10),"}",CHAR(10))</f>
        <v xml:space="preserve">\DeclareAcronym{usar}{
	short = {USAR} ,
	long = {United States Army Reserve}
}
</v>
      </c>
    </row>
    <row r="50" spans="1:4" x14ac:dyDescent="0.25">
      <c r="A50" t="s">
        <v>69</v>
      </c>
      <c r="B50" t="s">
        <v>34</v>
      </c>
      <c r="C50" t="s">
        <v>90</v>
      </c>
      <c r="D50" s="2" t="str">
        <f>_xlfn.CONCAT("\DeclareAcronym{",acro[[#This Row],[id]],"}{",CHAR(10),CHAR(9),"short = {",acro[[#This Row],[Short]],"} ,",CHAR(10),CHAR(9),"long = {",acro[[#This Row],[Long]],"}",CHAR(10),"}",CHAR(10))</f>
        <v xml:space="preserve">\DeclareAcronym{usma}{
	short = {USMA} ,
	long = {United States Military Academy}
}
</v>
      </c>
    </row>
    <row r="51" spans="1:4" x14ac:dyDescent="0.25">
      <c r="A51" t="s">
        <v>114</v>
      </c>
      <c r="B51" t="s">
        <v>91</v>
      </c>
      <c r="C51" t="s">
        <v>92</v>
      </c>
      <c r="D51" s="1" t="str">
        <f>_xlfn.CONCAT("\DeclareAcronym{",acro[[#This Row],[id]],"}{",CHAR(10),CHAR(9),"short = {",acro[[#This Row],[Short]],"} ,",CHAR(10),CHAR(9),"long = {",acro[[#This Row],[Long]],"}",CHAR(10),"}",CHAR(10))</f>
        <v xml:space="preserve">\DeclareAcronym{usmaps}{
	short = {USMAPS} ,
	long = {United States Military Academy Prepatory School}
}
</v>
      </c>
    </row>
    <row r="52" spans="1:4" x14ac:dyDescent="0.25">
      <c r="A52" t="s">
        <v>71</v>
      </c>
      <c r="B52" t="s">
        <v>72</v>
      </c>
      <c r="C52" t="s">
        <v>73</v>
      </c>
      <c r="D52" s="2" t="str">
        <f>_xlfn.CONCAT("\DeclareAcronym{",acro[[#This Row],[id]],"}{",CHAR(10),CHAR(9),"short = {",acro[[#This Row],[Short]],"} ,",CHAR(10),CHAR(9),"long = {",acro[[#This Row],[Long]],"}",CHAR(10),"}",CHAR(10))</f>
        <v xml:space="preserve">\DeclareAcronym{vlos}{
	short = {VLOS} ,
	long = {Visual Line of Sight}
}
</v>
      </c>
    </row>
    <row r="53" spans="1:4" x14ac:dyDescent="0.25">
      <c r="A53" t="s">
        <v>70</v>
      </c>
      <c r="B53" t="s">
        <v>35</v>
      </c>
      <c r="C53" t="s">
        <v>120</v>
      </c>
      <c r="D53" s="1" t="str">
        <f>_xlfn.CONCAT("\DeclareAcronym{",acro[[#This Row],[id]],"}{",CHAR(10),CHAR(9),"short = {",acro[[#This Row],[Short]],"} ,",CHAR(10),CHAR(9),"long = {",acro[[#This Row],[Long]],"}",CHAR(10),"}",CHAR(10))</f>
        <v xml:space="preserve">\DeclareAcronym{vo}{
	short = {VO} ,
	long = {Visual Observer}
}
</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18C50E-552B-4595-8DCC-E4589F8230E2}">
  <dimension ref="A1:E45"/>
  <sheetViews>
    <sheetView topLeftCell="A43" workbookViewId="0">
      <selection activeCell="B45" sqref="B45"/>
    </sheetView>
  </sheetViews>
  <sheetFormatPr defaultRowHeight="15" x14ac:dyDescent="0.25"/>
  <cols>
    <col min="1" max="1" width="49" style="3" bestFit="1" customWidth="1"/>
    <col min="2" max="2" width="64.28515625" style="3" bestFit="1" customWidth="1"/>
    <col min="3" max="3" width="80" style="4" customWidth="1"/>
    <col min="4" max="4" width="25.85546875" style="4" customWidth="1"/>
    <col min="5" max="5" width="255.7109375" bestFit="1" customWidth="1"/>
  </cols>
  <sheetData>
    <row r="1" spans="1:5" x14ac:dyDescent="0.25">
      <c r="A1" s="3" t="s">
        <v>38</v>
      </c>
      <c r="B1" s="3" t="s">
        <v>142</v>
      </c>
      <c r="C1" s="4" t="s">
        <v>143</v>
      </c>
      <c r="D1" s="4" t="s">
        <v>193</v>
      </c>
      <c r="E1" t="s">
        <v>144</v>
      </c>
    </row>
    <row r="2" spans="1:5" s="7" customFormat="1" ht="75" x14ac:dyDescent="0.25">
      <c r="A2" s="5" t="s">
        <v>251</v>
      </c>
      <c r="B2" s="5" t="s">
        <v>179</v>
      </c>
      <c r="C2" s="6" t="s">
        <v>279</v>
      </c>
      <c r="D2" s="6" t="s">
        <v>257</v>
      </c>
      <c r="E2" s="6" t="str">
        <f>_xlfn.CONCAT("\newglossaryentry{",Terms[[#This Row],[id]],"}{",CHAR(10),CHAR(9),"name = {",Terms[[#This Row],[name]],"} ,",CHAR(10),CHAR(9),"description = {",Terms[[#This Row],[description]],CHAR(10),CHAR(9),"\glspar\hfill\textit{Source: ",Terms[[#This Row],[source]],"}}}",CHAR(10))</f>
        <v xml:space="preserve">\newglossaryentry{corridor}{
	name = {air corridor} ,
	description = {A restricted air route of travel specified for use by friendly aircraft and established for the purpose of preventing friendly aircraft from being fired on by friendly forces.
	\glspar\hfill\textit{Source: JP 3-52, DoD, 2014}}}
</v>
      </c>
    </row>
    <row r="3" spans="1:5" ht="75" x14ac:dyDescent="0.25">
      <c r="A3" s="5" t="s">
        <v>151</v>
      </c>
      <c r="B3" s="5" t="s">
        <v>151</v>
      </c>
      <c r="C3" s="6" t="s">
        <v>191</v>
      </c>
      <c r="D3" s="6" t="s">
        <v>194</v>
      </c>
      <c r="E3" s="6" t="str">
        <f>_xlfn.CONCAT("\newglossaryentry{",Terms[[#This Row],[id]],"}{",CHAR(10),CHAR(9),"name = {",Terms[[#This Row],[name]],"} ,",CHAR(10),CHAR(9),"description = {",Terms[[#This Row],[description]],CHAR(10),CHAR(9),"\glspar\hfill\textit{Source: ",Terms[[#This Row],[source]],"}}}",CHAR(10))</f>
        <v xml:space="preserve">\newglossaryentry{aircraft}{
	name = {aircraft} ,
	description = {A device that is used, or intended to be used, for flight.
	\glspar\hfill\textit{Source: Pilot's Handbook of Aeronautical Knowledge, FAA, November 2023}}}
</v>
      </c>
    </row>
    <row r="4" spans="1:5" ht="75" x14ac:dyDescent="0.25">
      <c r="A4" s="5" t="s">
        <v>152</v>
      </c>
      <c r="B4" s="5" t="s">
        <v>152</v>
      </c>
      <c r="C4" s="6" t="s">
        <v>252</v>
      </c>
      <c r="D4" s="6" t="s">
        <v>258</v>
      </c>
      <c r="E4" s="6" t="str">
        <f>_xlfn.CONCAT("\newglossaryentry{",Terms[[#This Row],[id]],"}{",CHAR(10),CHAR(9),"name = {",Terms[[#This Row],[name]],"} ,",CHAR(10),CHAR(9),"description = {",Terms[[#This Row],[description]],CHAR(10),CHAR(9),"\glspar\hfill\textit{Source: ",Terms[[#This Row],[source]],"}}}",CHAR(10))</f>
        <v xml:space="preserve">\newglossaryentry{airframe}{
	name = {airframe} ,
	description = {The fuselage, booms, nacelles, cowlings, fairings, airfoil surfaces (including rotors but excluding propellers and rotating airfoils of engines), and landing gear of an aircraft and their accessories and controls.
	\glspar\hfill\textit{Source: 14 CFR Subsection 1.1, US Congress, September 2025}}}
</v>
      </c>
    </row>
    <row r="5" spans="1:5" ht="75" x14ac:dyDescent="0.25">
      <c r="A5" s="5" t="s">
        <v>162</v>
      </c>
      <c r="B5" s="5" t="s">
        <v>162</v>
      </c>
      <c r="C5" s="6" t="s">
        <v>253</v>
      </c>
      <c r="D5" s="6" t="s">
        <v>254</v>
      </c>
      <c r="E5" s="6" t="str">
        <f>_xlfn.CONCAT("\newglossaryentry{",Terms[[#This Row],[id]],"}{",CHAR(10),CHAR(9),"name = {",Terms[[#This Row],[name]],"} ,",CHAR(10),CHAR(9),"description = {",Terms[[#This Row],[description]],CHAR(10),CHAR(9),"\glspar\hfill\textit{Source: ",Terms[[#This Row],[source]],"}}}",CHAR(10))</f>
        <v xml:space="preserve">\newglossaryentry{automated}{
	name = {automated} ,
	description = {Operated by machines or computers without direct human control.
	\glspar\hfill\textit{Source: Dictionary, Merriam-Webster, 2024}}}
</v>
      </c>
    </row>
    <row r="6" spans="1:5" ht="75" x14ac:dyDescent="0.25">
      <c r="A6" s="5" t="s">
        <v>250</v>
      </c>
      <c r="B6" s="5" t="s">
        <v>192</v>
      </c>
      <c r="C6" s="6" t="s">
        <v>278</v>
      </c>
      <c r="D6" s="6" t="s">
        <v>194</v>
      </c>
      <c r="E6" s="6" t="str">
        <f>_xlfn.CONCAT("\newglossaryentry{",Terms[[#This Row],[id]],"}{",CHAR(10),CHAR(9),"name = {",Terms[[#This Row],[name]],"} ,",CHAR(10),CHAR(9),"description = {",Terms[[#This Row],[description]],CHAR(10),CHAR(9),"\glspar\hfill\textit{Source: ",Terms[[#This Row],[source]],"}}}",CHAR(10))</f>
        <v xml:space="preserve">\newglossaryentry{adsb}{
	name = {Automatic Dependent Surveillance - Broadcast (ADS-B)} ,
	description = {A function of an aircraft or vehicle that preiodically broadcasts its state vector (i.e., horizontal and vertical position, horizontal and vertical velocity) and other information.
	\glspar\hfill\textit{Source: Pilot's Handbook of Aeronautical Knowledge, FAA, November 2023}}}
</v>
      </c>
    </row>
    <row r="7" spans="1:5" ht="75" x14ac:dyDescent="0.25">
      <c r="A7" s="5" t="s">
        <v>147</v>
      </c>
      <c r="B7" s="5" t="s">
        <v>148</v>
      </c>
      <c r="C7" s="6" t="s">
        <v>256</v>
      </c>
      <c r="D7" s="6" t="s">
        <v>255</v>
      </c>
      <c r="E7" s="6" t="str">
        <f>_xlfn.CONCAT("\newglossaryentry{",Terms[[#This Row],[id]],"}{",CHAR(10),CHAR(9),"name = {",Terms[[#This Row],[name]],"} ,",CHAR(10),CHAR(9),"description = {",Terms[[#This Row],[description]],CHAR(10),CHAR(9),"\glspar\hfill\textit{Source: ",Terms[[#This Row],[source]],"}}}",CHAR(10))</f>
        <v xml:space="preserve">\newglossaryentry{autonomousflight}{
	name = {autonomous flight} ,
	description = {The operation of a /ac{uas} where a complex function makes decisions and performs actions without direct human input, enabled by a run-time assurance (RTA) architecture that safely bounds the flight behavior.
	\glspar\hfill\textit{Source: ASTM F3269-17, ASTM International, 2017}}}
</v>
      </c>
    </row>
    <row r="8" spans="1:5" ht="90" x14ac:dyDescent="0.25">
      <c r="A8" s="5" t="s">
        <v>107</v>
      </c>
      <c r="B8" s="5" t="s">
        <v>155</v>
      </c>
      <c r="C8" s="6" t="s">
        <v>214</v>
      </c>
      <c r="D8" s="6" t="s">
        <v>215</v>
      </c>
      <c r="E8" s="6" t="str">
        <f>_xlfn.CONCAT("\newglossaryentry{",Terms[[#This Row],[id]],"}{",CHAR(10),CHAR(9),"name = {",Terms[[#This Row],[name]],"} ,",CHAR(10),CHAR(9),"description = {",Terms[[#This Row],[description]],CHAR(10),CHAR(9),"\glspar\hfill\textit{Source: ",Terms[[#This Row],[source]],"}}}",CHAR(10))</f>
        <v xml:space="preserve">\newglossaryentry{bvlos}{
	name = {Beyond Visual Line of Sight (BVLOS)} ,
	description = {The operation of a UAS beyond the visual capability of the flight crew members (i.e., remote pilot in command [RPIC], the person manipulating the controls, and visual observer [VO]), if used to see the aircraft with vision unaided by any device other than corrective lenses, spectacles, and contact lenses.
	\glspar\hfill\textit{Source: Pilot/Controller Glossary, FAA, August 2025}}}
</v>
      </c>
    </row>
    <row r="9" spans="1:5" ht="75" x14ac:dyDescent="0.25">
      <c r="A9" s="5" t="s">
        <v>47</v>
      </c>
      <c r="B9" s="5" t="s">
        <v>216</v>
      </c>
      <c r="C9" s="6" t="s">
        <v>217</v>
      </c>
      <c r="D9" s="6" t="s">
        <v>215</v>
      </c>
      <c r="E9" s="6" t="str">
        <f>_xlfn.CONCAT("\newglossaryentry{",Terms[[#This Row],[id]],"}{",CHAR(10),CHAR(9),"name = {",Terms[[#This Row],[name]],"} ,",CHAR(10),CHAR(9),"description = {",Terms[[#This Row],[description]],CHAR(10),CHAR(9),"\glspar\hfill\textit{Source: ",Terms[[#This Row],[source]],"}}}",CHAR(10))</f>
        <v xml:space="preserve">\newglossaryentry{coa}{
	name = {Certificate or Waiver of Authorization (CoA)} ,
	description = {An FAA grant of approval for a specific flight operation or airspace authorization or waiver.
	\glspar\hfill\textit{Source: Pilot/Controller Glossary, FAA, August 2025}}}
</v>
      </c>
    </row>
    <row r="10" spans="1:5" ht="75" x14ac:dyDescent="0.25">
      <c r="A10" s="5" t="s">
        <v>249</v>
      </c>
      <c r="B10" s="5" t="s">
        <v>163</v>
      </c>
      <c r="C10" s="6" t="s">
        <v>201</v>
      </c>
      <c r="D10" s="6" t="s">
        <v>194</v>
      </c>
      <c r="E10" s="6" t="str">
        <f>_xlfn.CONCAT("\newglossaryentry{",Terms[[#This Row],[id]],"}{",CHAR(10),CHAR(9),"name = {",Terms[[#This Row],[name]],"} ,",CHAR(10),CHAR(9),"description = {",Terms[[#This Row],[description]],CHAR(10),CHAR(9),"\glspar\hfill\textit{Source: ",Terms[[#This Row],[source]],"}}}",CHAR(10))</f>
        <v xml:space="preserve">\newglossaryentry{classg}{
	name = {Class G airspace} ,
	description = {Airspace that is uncontrolled, except when associated with a temporary control tower, and has not been designated as Class A, Class B, Class C, Class D, or Class E airspace.
	\glspar\hfill\textit{Source: Pilot's Handbook of Aeronautical Knowledge, FAA, November 2023}}}
</v>
      </c>
    </row>
    <row r="11" spans="1:5" ht="75" x14ac:dyDescent="0.25">
      <c r="A11" s="5" t="s">
        <v>248</v>
      </c>
      <c r="B11" s="5" t="s">
        <v>164</v>
      </c>
      <c r="C11" s="6" t="s">
        <v>202</v>
      </c>
      <c r="D11" s="6" t="s">
        <v>194</v>
      </c>
      <c r="E11" s="6" t="str">
        <f>_xlfn.CONCAT("\newglossaryentry{",Terms[[#This Row],[id]],"}{",CHAR(10),CHAR(9),"name = {",Terms[[#This Row],[name]],"} ,",CHAR(10),CHAR(9),"description = {",Terms[[#This Row],[description]],CHAR(10),CHAR(9),"\glspar\hfill\textit{Source: ",Terms[[#This Row],[source]],"}}}",CHAR(10))</f>
        <v xml:space="preserve">\newglossaryentry{controlled}{
	name = {controlled airspace} ,
	description = {An airspace of defined dimensions within which ATC service is provided to IFR and VFR flights in accordance with the airspace classification. It includes Class A, Class B, Class C, Class D, and Class E airspace.
	\glspar\hfill\textit{Source: Pilot's Handbook of Aeronautical Knowledge, FAA, November 2023}}}
</v>
      </c>
    </row>
    <row r="12" spans="1:5" ht="90" x14ac:dyDescent="0.25">
      <c r="A12" s="5" t="s">
        <v>247</v>
      </c>
      <c r="B12" s="5" t="s">
        <v>225</v>
      </c>
      <c r="C12" s="6" t="s">
        <v>226</v>
      </c>
      <c r="D12" s="6" t="s">
        <v>215</v>
      </c>
      <c r="E12" s="6" t="str">
        <f>_xlfn.CONCAT("\newglossaryentry{",Terms[[#This Row],[id]],"}{",CHAR(10),CHAR(9),"name = {",Terms[[#This Row],[name]],"} ,",CHAR(10),CHAR(9),"description = {",Terms[[#This Row],[description]],CHAR(10),CHAR(9),"\glspar\hfill\textit{Source: ",Terms[[#This Row],[source]],"}}}",CHAR(10))</f>
        <v xml:space="preserve">\newglossaryentry{crewmember}{
	name = {crewmember (UAS)} ,
	description = {A person assigned to perform an operational duty. A UAS crewmember includes the remote pilot in command, the person manipulating the controls, and visual observers but may also include other persons as appropriate or required to ensure the safe operation of the UAS (e.g., sensor operator, ground control station operator).
	\glspar\hfill\textit{Source: Pilot/Controller Glossary, FAA, August 2025}}}
</v>
      </c>
    </row>
    <row r="13" spans="1:5" ht="90" x14ac:dyDescent="0.25">
      <c r="A13" s="5" t="s">
        <v>55</v>
      </c>
      <c r="B13" s="5" t="s">
        <v>158</v>
      </c>
      <c r="C13" s="6" t="s">
        <v>280</v>
      </c>
      <c r="D13" s="6" t="s">
        <v>275</v>
      </c>
      <c r="E13" s="6" t="str">
        <f>_xlfn.CONCAT("\newglossaryentry{",Terms[[#This Row],[id]],"}{",CHAR(10),CHAR(9),"name = {",Terms[[#This Row],[name]],"} ,",CHAR(10),CHAR(9),"description = {",Terms[[#This Row],[description]],CHAR(10),CHAR(9),"\glspar\hfill\textit{Source: ",Terms[[#This Row],[source]],"}}}",CHAR(10))</f>
        <v xml:space="preserve">\newglossaryentry{mou}{
	name = {DoD / FAA Memorandum of Understanding (MoU)} ,
	description = {a /ac{mou} between the /ac{dod} and /ac{faa} that sets forth provisions that allow for increased /ac{dod} /ac{uas} use in the /ac{nas} outside of restricted, warning, or prohibited areas. This /ac{mou} defines many collaboration methods, and lists specific requirements that the /ac{dod} and /ac{faa} must meet.
	\glspar\hfill\textit{Source: /ac{mou} between the /ac{dod} and /ac{faa} for /{uas} in the /ac{nas}, Jointly published, May 2019}}}
</v>
      </c>
    </row>
    <row r="14" spans="1:5" ht="75" x14ac:dyDescent="0.25">
      <c r="A14" s="5" t="s">
        <v>165</v>
      </c>
      <c r="B14" s="5" t="s">
        <v>165</v>
      </c>
      <c r="C14" s="6" t="s">
        <v>232</v>
      </c>
      <c r="D14" s="6"/>
      <c r="E14" s="6" t="str">
        <f>_xlfn.CONCAT("\newglossaryentry{",Terms[[#This Row],[id]],"}{",CHAR(10),CHAR(9),"name = {",Terms[[#This Row],[name]],"} ,",CHAR(10),CHAR(9),"description = {",Terms[[#This Row],[description]],CHAR(10),CHAR(9),"\glspar\hfill\textit{Source: ",Terms[[#This Row],[source]],"}}}",CHAR(10))</f>
        <v xml:space="preserve">\newglossaryentry{drone}{
	name = {drone} ,
	description = {See \term{uas}.
	\glspar\hfill\textit{Source: }}}
</v>
      </c>
    </row>
    <row r="15" spans="1:5" ht="75" x14ac:dyDescent="0.25">
      <c r="A15" s="5" t="s">
        <v>149</v>
      </c>
      <c r="B15" s="5" t="s">
        <v>150</v>
      </c>
      <c r="C15" s="6" t="s">
        <v>259</v>
      </c>
      <c r="D15" s="6" t="s">
        <v>260</v>
      </c>
      <c r="E15" s="6" t="str">
        <f>_xlfn.CONCAT("\newglossaryentry{",Terms[[#This Row],[id]],"}{",CHAR(10),CHAR(9),"name = {",Terms[[#This Row],[name]],"} ,",CHAR(10),CHAR(9),"description = {",Terms[[#This Row],[description]],CHAR(10),CHAR(9),"\glspar\hfill\textit{Source: ",Terms[[#This Row],[source]],"}}}",CHAR(10))</f>
        <v xml:space="preserve">\newglossaryentry{flightcorridor}{
	name = {flight corridor} ,
	description = {A defined three-dimensional airspace, of defined width, which has been set aside for flights along a particular route.
	\glspar\hfill\textit{Source: ICAO Document 4444, International Civil Aviation Organization, 2016}}}
</v>
      </c>
    </row>
    <row r="16" spans="1:5" ht="75" x14ac:dyDescent="0.25">
      <c r="A16" s="5" t="s">
        <v>246</v>
      </c>
      <c r="B16" s="5" t="s">
        <v>203</v>
      </c>
      <c r="C16" s="7" t="s">
        <v>204</v>
      </c>
      <c r="D16" s="6" t="s">
        <v>194</v>
      </c>
      <c r="E16" s="6" t="str">
        <f>_xlfn.CONCAT("\newglossaryentry{",Terms[[#This Row],[id]],"}{",CHAR(10),CHAR(9),"name = {",Terms[[#This Row],[name]],"} ,",CHAR(10),CHAR(9),"description = {",Terms[[#This Row],[description]],CHAR(10),CHAR(9),"\glspar\hfill\textit{Source: ",Terms[[#This Row],[source]],"}}}",CHAR(10))</f>
        <v xml:space="preserve">\newglossaryentry{flightpath}{
	name = {flight path} ,
	description = {The line, course, or track along which an aircraft is flying or is intended to be flown.
	\glspar\hfill\textit{Source: Pilot's Handbook of Aeronautical Knowledge, FAA, November 2023}}}
</v>
      </c>
    </row>
    <row r="17" spans="1:5" ht="75" x14ac:dyDescent="0.25">
      <c r="A17" s="5" t="s">
        <v>145</v>
      </c>
      <c r="B17" s="5" t="s">
        <v>146</v>
      </c>
      <c r="C17" s="6" t="s">
        <v>261</v>
      </c>
      <c r="D17" s="6" t="s">
        <v>262</v>
      </c>
      <c r="E17" s="6" t="str">
        <f>_xlfn.CONCAT("\newglossaryentry{",Terms[[#This Row],[id]],"}{",CHAR(10),CHAR(9),"name = {",Terms[[#This Row],[name]],"} ,",CHAR(10),CHAR(9),"description = {",Terms[[#This Row],[description]],CHAR(10),CHAR(9),"\glspar\hfill\textit{Source: ",Terms[[#This Row],[source]],"}}}",CHAR(10))</f>
        <v xml:space="preserve">\newglossaryentry{geofence}{
	name = {geo-fence} ,
	description = {A virtual perimeter for a real-world geographic area that can be dynamically generated or correspond to a pre-set geographic boundary.
	\glspar\hfill\textit{Source: ASTM F3002-14a, ASTM International, 2014}}}
</v>
      </c>
    </row>
    <row r="18" spans="1:5" ht="90" x14ac:dyDescent="0.25">
      <c r="A18" s="5" t="s">
        <v>245</v>
      </c>
      <c r="B18" s="5" t="s">
        <v>181</v>
      </c>
      <c r="C18" s="6" t="s">
        <v>195</v>
      </c>
      <c r="D18" s="6" t="s">
        <v>263</v>
      </c>
      <c r="E18" s="6" t="str">
        <f>_xlfn.CONCAT("\newglossaryentry{",Terms[[#This Row],[id]],"}{",CHAR(10),CHAR(9),"name = {",Terms[[#This Row],[name]],"} ,",CHAR(10),CHAR(9),"description = {",Terms[[#This Row],[description]],CHAR(10),CHAR(9),"\glspar\hfill\textit{Source: ",Terms[[#This Row],[source]],"}}}",CHAR(10))</f>
        <v xml:space="preserve">\newglossaryentry{groups}{
	name = {Group (/ac{dod} UAS Classification)} ,
	description = {The \ac{uas} group system establishes the foundation for joint \ac{uas} terminology. It provides a common reference to compare \ac{uas}. \ac{uas} are grouped based on the physical and performance characteristics of weight, operating altitude, and airspeed. \ac{uas} groups are determined without regard for payload, mission, command relationship, or Service. All \ac{uas} fall into one of five groups.
	\glspar\hfill\textit{Source: AR 95-1, DA, March 2018}}}
</v>
      </c>
    </row>
    <row r="19" spans="1:5" ht="90" x14ac:dyDescent="0.25">
      <c r="A19" s="5" t="s">
        <v>241</v>
      </c>
      <c r="B19" s="5" t="s">
        <v>166</v>
      </c>
      <c r="C19" s="6" t="s">
        <v>196</v>
      </c>
      <c r="D19" s="6" t="s">
        <v>197</v>
      </c>
      <c r="E19" s="6" t="str">
        <f>_xlfn.CONCAT("\newglossaryentry{",Terms[[#This Row],[id]],"}{",CHAR(10),CHAR(9),"name = {",Terms[[#This Row],[name]],"} ,",CHAR(10),CHAR(9),"description = {",Terms[[#This Row],[description]],CHAR(10),CHAR(9),"\glspar\hfill\textit{Source: ",Terms[[#This Row],[source]],"}}}",CHAR(10))</f>
        <v xml:space="preserve">\newglossaryentry{group1}{
	name = {Group 1 UAS} ,
	description = {Typically hand-launched, self contained, portable systemsemployed for a small unit or base security. They are capable of providing “overthe hill” or “around the corner” reconnaissance and surveillance. They operatewithin visual range and are analogous to radio-controlled model airplanes ascovered in AC 91-57.30. Typically weigh less than 20lbs \ac{mgtow}.
	\glspar\hfill\textit{Source:  DoD UAS Airspace Integration Plan, 2004}}}
</v>
      </c>
    </row>
    <row r="20" spans="1:5" ht="90" x14ac:dyDescent="0.25">
      <c r="A20" s="5" t="s">
        <v>242</v>
      </c>
      <c r="B20" s="5" t="s">
        <v>167</v>
      </c>
      <c r="C20" s="6" t="s">
        <v>198</v>
      </c>
      <c r="D20" s="6" t="s">
        <v>197</v>
      </c>
      <c r="E20" s="6" t="str">
        <f>_xlfn.CONCAT("\newglossaryentry{",Terms[[#This Row],[id]],"}{",CHAR(10),CHAR(9),"name = {",Terms[[#This Row],[name]],"} ,",CHAR(10),CHAR(9),"description = {",Terms[[#This Row],[description]],CHAR(10),CHAR(9),"\glspar\hfill\textit{Source: ",Terms[[#This Row],[source]],"}}}",CHAR(10))</f>
        <v xml:space="preserve">\newglossaryentry{group2}{
	name = {Group 2 UAS} ,
	description = {Small to medium in size and usually support brigade and intelligence, surveillance, reconnaissance, and target acquisition requirements. They usually operate from unimproved areas and launched via catapult. Payloads may include a sensor ball with electro-optic / infrared(EO/IR) and laser range finder/designator (LRF/D) capability. They typically perform special purpose operations or routine operations within a specific set of restrictions. Typically weigh between 21lbs and 55lbs \ac{mgtow}.
	\glspar\hfill\textit{Source:  DoD UAS Airspace Integration Plan, 2004}}}
</v>
      </c>
    </row>
    <row r="21" spans="1:5" ht="90" x14ac:dyDescent="0.25">
      <c r="A21" s="5" t="s">
        <v>243</v>
      </c>
      <c r="B21" s="5" t="s">
        <v>168</v>
      </c>
      <c r="C21" s="6" t="s">
        <v>199</v>
      </c>
      <c r="D21" s="6" t="s">
        <v>197</v>
      </c>
      <c r="E21" s="6" t="str">
        <f>_xlfn.CONCAT("\newglossaryentry{",Terms[[#This Row],[id]],"}{",CHAR(10),CHAR(9),"name = {",Terms[[#This Row],[name]],"} ,",CHAR(10),CHAR(9),"description = {",Terms[[#This Row],[description]],CHAR(10),CHAR(9),"\glspar\hfill\textit{Source: ",Terms[[#This Row],[source]],"}}}",CHAR(10))</f>
        <v xml:space="preserve">\newglossaryentry{group3}{
	name = {Group 3 UAS} ,
	description = {Operate at medium altitudes with medium to long range and endurance. Their payloads may include a sensor ball with EO/IR, LRF/D,signal intelligence (SIGINT), communications relay, and chemical biological radiological nuclear explosive (CBRNE) detection. They usually operate from unimproved areas and may not require an improved runway. Typically weigh more than 55lbs, but less than 1320lbs \ac{mgtow}.
	\glspar\hfill\textit{Source:  DoD UAS Airspace Integration Plan, 2004}}}
</v>
      </c>
    </row>
    <row r="22" spans="1:5" ht="90" x14ac:dyDescent="0.25">
      <c r="A22" s="5" t="s">
        <v>244</v>
      </c>
      <c r="B22" s="5" t="s">
        <v>169</v>
      </c>
      <c r="C22" s="6" t="s">
        <v>200</v>
      </c>
      <c r="D22" s="6" t="s">
        <v>197</v>
      </c>
      <c r="E22" s="6" t="str">
        <f>_xlfn.CONCAT("\newglossaryentry{",Terms[[#This Row],[id]],"}{",CHAR(10),CHAR(9),"name = {",Terms[[#This Row],[name]],"} ,",CHAR(10),CHAR(9),"description = {",Terms[[#This Row],[description]],CHAR(10),CHAR(9),"\glspar\hfill\textit{Source: ",Terms[[#This Row],[source]],"}}}",CHAR(10))</f>
        <v xml:space="preserve">\newglossaryentry{group4}{
	name = {Group 4 UAS} ,
	description = {Relatively large UAS that operate at medium to high altitudes and have extended range and endurance. They normally require improved areas for launch and recovery, beyond line-of-sight (BLOS) communications, andhave stringent airspace operations requirements. Payloads may include EO/IR sensors, radars, lasers, communications relay, SIGINT, Automatic Identification System (AIS), and weapons. Typically weigh more than 1320lbs \ac{mgtow}.
	\glspar\hfill\textit{Source:  DoD UAS Airspace Integration Plan, 2004}}}
</v>
      </c>
    </row>
    <row r="23" spans="1:5" ht="90" x14ac:dyDescent="0.25">
      <c r="A23" s="5" t="s">
        <v>240</v>
      </c>
      <c r="B23" s="5" t="s">
        <v>180</v>
      </c>
      <c r="C23" s="6" t="s">
        <v>281</v>
      </c>
      <c r="D23" s="6" t="s">
        <v>197</v>
      </c>
      <c r="E23" s="6" t="str">
        <f>_xlfn.CONCAT("\newglossaryentry{",Terms[[#This Row],[id]],"}{",CHAR(10),CHAR(9),"name = {",Terms[[#This Row],[name]],"} ,",CHAR(10),CHAR(9),"description = {",Terms[[#This Row],[description]],CHAR(10),CHAR(9),"\glspar\hfill\textit{Source: ",Terms[[#This Row],[source]],"}}}",CHAR(10))</f>
        <v xml:space="preserve">\newglossaryentry{group5}{
	name = {Group 5 UAS} ,
	description = {Include the largest systems, operate at medium to high altitudes, and have the greatest range, endurance, and airspeed capabilities. They require improved areas for launch and recovery, BLOS communications, andthe most stringent airspace operations requirements. Group 5 UAS perform specialized missions such as broad area surveillance and penetrating attacks. Typically weigh more than 1320lbs \ac{mgtow}.
	\glspar\hfill\textit{Source:  DoD UAS Airspace Integration Plan, 2004}}}
</v>
      </c>
    </row>
    <row r="24" spans="1:5" ht="75" x14ac:dyDescent="0.25">
      <c r="A24" s="5" t="s">
        <v>239</v>
      </c>
      <c r="B24" s="5" t="s">
        <v>170</v>
      </c>
      <c r="C24" s="6" t="s">
        <v>264</v>
      </c>
      <c r="D24" s="6" t="s">
        <v>265</v>
      </c>
      <c r="E24" s="6" t="str">
        <f>_xlfn.CONCAT("\newglossaryentry{",Terms[[#This Row],[id]],"}{",CHAR(10),CHAR(9),"name = {",Terms[[#This Row],[name]],"} ,",CHAR(10),CHAR(9),"description = {",Terms[[#This Row],[description]],CHAR(10),CHAR(9),"\glspar\hfill\textit{Source: ",Terms[[#This Row],[source]],"}}}",CHAR(10))</f>
        <v xml:space="preserve">\newglossaryentry{manipulator}{
	name = {manipulator of the controls} ,
	description = {A person who operates the controls of an aircraft during flight time.
	\glspar\hfill\textit{Source:  AC 61-65H, Federal Aviation Administration, September 2018}}}
</v>
      </c>
    </row>
    <row r="25" spans="1:5" ht="75" x14ac:dyDescent="0.25">
      <c r="A25" s="5" t="s">
        <v>238</v>
      </c>
      <c r="B25" s="5" t="s">
        <v>207</v>
      </c>
      <c r="C25" s="6" t="s">
        <v>208</v>
      </c>
      <c r="D25" s="6" t="s">
        <v>194</v>
      </c>
      <c r="E25" s="6" t="str">
        <f>_xlfn.CONCAT("\newglossaryentry{",Terms[[#This Row],[id]],"}{",CHAR(10),CHAR(9),"name = {",Terms[[#This Row],[name]],"} ,",CHAR(10),CHAR(9),"description = {",Terms[[#This Row],[description]],CHAR(10),CHAR(9),"\glspar\hfill\textit{Source: ",Terms[[#This Row],[source]],"}}}",CHAR(10))</f>
        <v xml:space="preserve">\newglossaryentry{mgtow}{
	name = {Maximum Gross Takeoff Weight (MGTOW)} ,
	description = {The maximum allowable weight for takeoff, inclusive of airframe, fuel, and cargo.
	\glspar\hfill\textit{Source: Pilot's Handbook of Aeronautical Knowledge, FAA, November 2023}}}
</v>
      </c>
    </row>
    <row r="26" spans="1:5" ht="75" x14ac:dyDescent="0.25">
      <c r="A26" s="5" t="s">
        <v>56</v>
      </c>
      <c r="B26" s="5" t="s">
        <v>205</v>
      </c>
      <c r="C26" s="6" t="s">
        <v>206</v>
      </c>
      <c r="D26" s="6" t="s">
        <v>194</v>
      </c>
      <c r="E26" s="6" t="str">
        <f>_xlfn.CONCAT("\newglossaryentry{",Terms[[#This Row],[id]],"}{",CHAR(10),CHAR(9),"name = {",Terms[[#This Row],[name]],"} ,",CHAR(10),CHAR(9),"description = {",Terms[[#This Row],[description]],CHAR(10),CHAR(9),"\glspar\hfill\textit{Source: ",Terms[[#This Row],[source]],"}}}",CHAR(10))</f>
        <v xml:space="preserve">\newglossaryentry{msl}{
	name = {mean sea level} ,
	description = {The average height of the surface of the sea at a particular location for all stages of the tide over a 19-year period.
	\glspar\hfill\textit{Source: Pilot's Handbook of Aeronautical Knowledge, FAA, November 2023}}}
</v>
      </c>
    </row>
    <row r="27" spans="1:5" ht="75" x14ac:dyDescent="0.25">
      <c r="A27" s="5" t="s">
        <v>58</v>
      </c>
      <c r="B27" s="5" t="s">
        <v>209</v>
      </c>
      <c r="C27" s="6" t="s">
        <v>210</v>
      </c>
      <c r="D27" s="6" t="s">
        <v>194</v>
      </c>
      <c r="E27" s="6" t="str">
        <f>_xlfn.CONCAT("\newglossaryentry{",Terms[[#This Row],[id]],"}{",CHAR(10),CHAR(9),"name = {",Terms[[#This Row],[name]],"} ,",CHAR(10),CHAR(9),"description = {",Terms[[#This Row],[description]],CHAR(10),CHAR(9),"\glspar\hfill\textit{Source: ",Terms[[#This Row],[source]],"}}}",CHAR(10))</f>
        <v xml:space="preserve">\newglossaryentry{nas}{
	name = {National Airspace System (NAS)} ,
	description = {The common network of United States airspace—air navigation facilities, equipment and services, airports or landing areas; aeronautical charts, information and services; rules, regulations and procedures, technical information; and manpower and material.
	\glspar\hfill\textit{Source: Pilot's Handbook of Aeronautical Knowledge, FAA, November 2023}}}
</v>
      </c>
    </row>
    <row r="28" spans="1:5" ht="75" x14ac:dyDescent="0.25">
      <c r="A28" s="5" t="s">
        <v>110</v>
      </c>
      <c r="B28" s="5" t="s">
        <v>159</v>
      </c>
      <c r="C28" s="6" t="s">
        <v>266</v>
      </c>
      <c r="D28" s="6" t="s">
        <v>267</v>
      </c>
      <c r="E28" s="6" t="str">
        <f>_xlfn.CONCAT("\newglossaryentry{",Terms[[#This Row],[id]],"}{",CHAR(10),CHAR(9),"name = {",Terms[[#This Row],[name]],"} ,",CHAR(10),CHAR(9),"description = {",Terms[[#This Row],[description]],CHAR(10),CHAR(9),"\glspar\hfill\textit{Source: ",Terms[[#This Row],[source]],"}}}",CHAR(10))</f>
        <v xml:space="preserve">\newglossaryentry{nsufr}{
	name = {National Security Unmanned Aircraft System Flight Restriction (NSUFR)} ,
	description = {Temporary flight restrictions that prohibit UAS operations within specified distances of certain security sensitive facilities to address national security concerns.
	\glspar\hfill\textit{Source: FAA UAS Data Exchange (LAANC), FAA, 2024}}}
</v>
      </c>
    </row>
    <row r="29" spans="1:5" ht="75" x14ac:dyDescent="0.25">
      <c r="A29" s="5" t="s">
        <v>60</v>
      </c>
      <c r="B29" s="5" t="s">
        <v>161</v>
      </c>
      <c r="C29" s="6" t="s">
        <v>211</v>
      </c>
      <c r="D29" s="6" t="s">
        <v>194</v>
      </c>
      <c r="E29" s="6" t="str">
        <f>_xlfn.CONCAT("\newglossaryentry{",Terms[[#This Row],[id]],"}{",CHAR(10),CHAR(9),"name = {",Terms[[#This Row],[name]],"} ,",CHAR(10),CHAR(9),"description = {",Terms[[#This Row],[description]],CHAR(10),CHAR(9),"\glspar\hfill\textit{Source: ",Terms[[#This Row],[source]],"}}}",CHAR(10))</f>
        <v xml:space="preserve">\newglossaryentry{notam}{
	name = {Notice to Airmen (NOTAM)} ,
	description = {A notice filed with an aviation authority to alert aircraft pilots of any hazards en route or at a specific location. The authority in turn provides means of disseminating relevant NOTAMs to pilots.
	\glspar\hfill\textit{Source: Pilot's Handbook of Aeronautical Knowledge, FAA, November 2023}}}
</v>
      </c>
    </row>
    <row r="30" spans="1:5" ht="75" x14ac:dyDescent="0.25">
      <c r="A30" s="5" t="s">
        <v>111</v>
      </c>
      <c r="B30" s="5" t="s">
        <v>154</v>
      </c>
      <c r="C30" s="6" t="s">
        <v>218</v>
      </c>
      <c r="D30" s="6" t="s">
        <v>215</v>
      </c>
      <c r="E30" s="6" t="str">
        <f>_xlfn.CONCAT("\newglossaryentry{",Terms[[#This Row],[id]],"}{",CHAR(10),CHAR(9),"name = {",Terms[[#This Row],[name]],"} ,",CHAR(10),CHAR(9),"description = {",Terms[[#This Row],[description]],CHAR(10),CHAR(9),"\glspar\hfill\textit{Source: ",Terms[[#This Row],[source]],"}}}",CHAR(10))</f>
        <v xml:space="preserve">\newglossaryentry{oop}{
	name = {Operations Over People (OOP)} ,
	description = {Operations of small unmanned aircraft over people.
	\glspar\hfill\textit{Source: Pilot/Controller Glossary, FAA, August 2025}}}
</v>
      </c>
    </row>
    <row r="31" spans="1:5" ht="75" x14ac:dyDescent="0.25">
      <c r="A31" s="5" t="s">
        <v>171</v>
      </c>
      <c r="B31" s="5" t="s">
        <v>227</v>
      </c>
      <c r="C31" s="6" t="s">
        <v>219</v>
      </c>
      <c r="D31" s="6" t="s">
        <v>215</v>
      </c>
      <c r="E31" s="6" t="str">
        <f>_xlfn.CONCAT("\newglossaryentry{",Terms[[#This Row],[id]],"}{",CHAR(10),CHAR(9),"name = {",Terms[[#This Row],[name]],"} ,",CHAR(10),CHAR(9),"description = {",Terms[[#This Row],[description]],CHAR(10),CHAR(9),"\glspar\hfill\textit{Source: ",Terms[[#This Row],[source]],"}}}",CHAR(10))</f>
        <v xml:space="preserve">\newglossaryentry{operator}{
	name = {operator (UAS)} ,
	description = {The owner and/or remote pilot of a UAS.
	\glspar\hfill\textit{Source: Pilot/Controller Glossary, FAA, August 2025}}}
</v>
      </c>
    </row>
    <row r="32" spans="1:5" ht="75" x14ac:dyDescent="0.25">
      <c r="A32" s="5" t="s">
        <v>237</v>
      </c>
      <c r="B32" s="5" t="s">
        <v>157</v>
      </c>
      <c r="C32" s="6" t="s">
        <v>271</v>
      </c>
      <c r="D32" s="6" t="s">
        <v>272</v>
      </c>
      <c r="E32" s="6" t="str">
        <f>_xlfn.CONCAT("\newglossaryentry{",Terms[[#This Row],[id]],"}{",CHAR(10),CHAR(9),"name = {",Terms[[#This Row],[name]],"} ,",CHAR(10),CHAR(9),"description = {",Terms[[#This Row],[description]],CHAR(10),CHAR(9),"\glspar\hfill\textit{Source: ",Terms[[#This Row],[source]],"}}}",CHAR(10))</f>
        <v xml:space="preserve">\newglossaryentry{part107}{
	name = {Part 107} ,
	description = {The Federal Aviation Regulation that establishes requirements for the operation of small unmanned aircraft systems (sUAS) in the National Airspace System.
	\glspar\hfill\textit{Source: 14 CFR Part 107, US Congress, August 2016}}}
</v>
      </c>
    </row>
    <row r="33" spans="1:5" ht="75" x14ac:dyDescent="0.25">
      <c r="A33" s="5" t="s">
        <v>236</v>
      </c>
      <c r="B33" s="5" t="s">
        <v>156</v>
      </c>
      <c r="C33" s="6" t="s">
        <v>273</v>
      </c>
      <c r="D33" s="6" t="s">
        <v>274</v>
      </c>
      <c r="E33" s="6" t="str">
        <f>_xlfn.CONCAT("\newglossaryentry{",Terms[[#This Row],[id]],"}{",CHAR(10),CHAR(9),"name = {",Terms[[#This Row],[name]],"} ,",CHAR(10),CHAR(9),"description = {",Terms[[#This Row],[description]],CHAR(10),CHAR(9),"\glspar\hfill\textit{Source: ",Terms[[#This Row],[source]],"}}}",CHAR(10))</f>
        <v xml:space="preserve">\newglossaryentry{part91}{
	name = {Part 91} ,
	description = {General operating and flight rules that apply to aircraft operations within the United States and its territories.
	\glspar\hfill\textit{Source: 14 CFR Part 91, US Congress, April 2024}}}
</v>
      </c>
    </row>
    <row r="34" spans="1:5" ht="75" x14ac:dyDescent="0.25">
      <c r="A34" s="5" t="s">
        <v>172</v>
      </c>
      <c r="B34" s="5" t="s">
        <v>172</v>
      </c>
      <c r="C34" s="6" t="s">
        <v>268</v>
      </c>
      <c r="D34" s="6" t="s">
        <v>269</v>
      </c>
      <c r="E34" s="6" t="str">
        <f>_xlfn.CONCAT("\newglossaryentry{",Terms[[#This Row],[id]],"}{",CHAR(10),CHAR(9),"name = {",Terms[[#This Row],[name]],"} ,",CHAR(10),CHAR(9),"description = {",Terms[[#This Row],[description]],CHAR(10),CHAR(9),"\glspar\hfill\textit{Source: ",Terms[[#This Row],[source]],"}}}",CHAR(10))</f>
        <v xml:space="preserve">\newglossaryentry{pilot}{
	name = {pilot} ,
	description = {The term “pilot” means an individual who has final authority and responsibility for the operation and safety of the flight or any other flight deck crew member.
	\glspar\hfill\textit{Source: 14 CFR Subsection 44921, US Congress, October 2018}}}
</v>
      </c>
    </row>
    <row r="35" spans="1:5" ht="75" x14ac:dyDescent="0.25">
      <c r="A35" s="5" t="s">
        <v>235</v>
      </c>
      <c r="B35" s="5" t="s">
        <v>223</v>
      </c>
      <c r="C35" s="6" t="s">
        <v>224</v>
      </c>
      <c r="D35" s="6" t="s">
        <v>215</v>
      </c>
      <c r="E35" s="6" t="str">
        <f>_xlfn.CONCAT("\newglossaryentry{",Terms[[#This Row],[id]],"}{",CHAR(10),CHAR(9),"name = {",Terms[[#This Row],[name]],"} ,",CHAR(10),CHAR(9),"description = {",Terms[[#This Row],[description]],CHAR(10),CHAR(9),"\glspar\hfill\textit{Source: ",Terms[[#This Row],[source]],"}}}",CHAR(10))</f>
        <v xml:space="preserve">\newglossaryentry{pic}{
	name = {Pilot in Command (PIC)} ,
	description = {The pilot responsible for the operation and safety of an aircraft during flight time.
	\glspar\hfill\textit{Source: Pilot/Controller Glossary, FAA, August 2025}}}
</v>
      </c>
    </row>
    <row r="36" spans="1:5" ht="75" x14ac:dyDescent="0.25">
      <c r="A36" s="5" t="s">
        <v>173</v>
      </c>
      <c r="B36" s="5" t="s">
        <v>173</v>
      </c>
      <c r="C36" s="6" t="s">
        <v>270</v>
      </c>
      <c r="D36" s="6" t="s">
        <v>255</v>
      </c>
      <c r="E36" s="6" t="str">
        <f>_xlfn.CONCAT("\newglossaryentry{",Terms[[#This Row],[id]],"}{",CHAR(10),CHAR(9),"name = {",Terms[[#This Row],[name]],"} ,",CHAR(10),CHAR(9),"description = {",Terms[[#This Row],[description]],CHAR(10),CHAR(9),"\glspar\hfill\textit{Source: ",Terms[[#This Row],[source]],"}}}",CHAR(10))</f>
        <v xml:space="preserve">\newglossaryentry{piloted}{
	name = {piloted} ,
	description = {Flight of an unmanned aircraft that allows pilot intervention in the management of the flight path.
	\glspar\hfill\textit{Source: ASTM F3269-17, ASTM International, 2017}}}
</v>
      </c>
    </row>
    <row r="37" spans="1:5" ht="75" x14ac:dyDescent="0.25">
      <c r="A37" s="5" t="s">
        <v>234</v>
      </c>
      <c r="B37" s="5" t="s">
        <v>174</v>
      </c>
      <c r="C37" s="6" t="s">
        <v>220</v>
      </c>
      <c r="D37" s="6" t="s">
        <v>215</v>
      </c>
      <c r="E37" s="6" t="str">
        <f>_xlfn.CONCAT("\newglossaryentry{",Terms[[#This Row],[id]],"}{",CHAR(10),CHAR(9),"name = {",Terms[[#This Row],[name]],"} ,",CHAR(10),CHAR(9),"description = {",Terms[[#This Row],[description]],CHAR(10),CHAR(9),"\glspar\hfill\textit{Source: ",Terms[[#This Row],[source]],"}}}",CHAR(10))</f>
        <v xml:space="preserve">\newglossaryentry{rp}{
	name = {remote pilot} ,
	description = {Pilot of a UAS who is not operating as a recreational flyer under 49 USC §44809, the Exception for Limited Recreational Operations of Unmanned Aircraft.
	\glspar\hfill\textit{Source: Pilot/Controller Glossary, FAA, August 2025}}}
</v>
      </c>
    </row>
    <row r="38" spans="1:5" ht="75" x14ac:dyDescent="0.25">
      <c r="A38" s="5" t="s">
        <v>117</v>
      </c>
      <c r="B38" s="5" t="s">
        <v>222</v>
      </c>
      <c r="C38" s="6" t="s">
        <v>221</v>
      </c>
      <c r="D38" s="6" t="s">
        <v>215</v>
      </c>
      <c r="E38" s="6" t="str">
        <f>_xlfn.CONCAT("\newglossaryentry{",Terms[[#This Row],[id]],"}{",CHAR(10),CHAR(9),"name = {",Terms[[#This Row],[name]],"} ,",CHAR(10),CHAR(9),"description = {",Terms[[#This Row],[description]],CHAR(10),CHAR(9),"\glspar\hfill\textit{Source: ",Terms[[#This Row],[source]],"}}}",CHAR(10))</f>
        <v xml:space="preserve">\newglossaryentry{rpic}{
	name = {Remote Pilot In Command (RPIC)} ,
	description = {The RPIC is directly responsible for and is the final authority as to the operation of the unmanned aircraft system.
	\glspar\hfill\textit{Source: Pilot/Controller Glossary, FAA, August 2025}}}
</v>
      </c>
    </row>
    <row r="39" spans="1:5" ht="105" x14ac:dyDescent="0.25">
      <c r="A39" s="5" t="s">
        <v>112</v>
      </c>
      <c r="B39" s="5" t="s">
        <v>160</v>
      </c>
      <c r="C39" s="6" t="s">
        <v>212</v>
      </c>
      <c r="D39" s="6" t="s">
        <v>194</v>
      </c>
      <c r="E39" s="6" t="str">
        <f>_xlfn.CONCAT("\newglossaryentry{",Terms[[#This Row],[id]],"}{",CHAR(10),CHAR(9),"name = {",Terms[[#This Row],[name]],"} ,",CHAR(10),CHAR(9),"description = {",Terms[[#This Row],[description]],CHAR(10),CHAR(9),"\glspar\hfill\textit{Source: ",Terms[[#This Row],[source]],"}}}",CHAR(10))</f>
        <v xml:space="preserve">\newglossaryentry{tfr}{
	name = {Temporary Flight Restriction (TFR)} ,
	description = {Restriction to flight imposed in order to: 1. Protect persons and property in the air or on the surface from an existing or imminent flight associated hazard; 2. Provide a safe environment for the operation of disaster relief aircraft; 3. Prevent an unsafe congestion of sightseeing aircraft above an incident; 4. Protect the President, Vice President, or other public figures; and, 5. Provide a safe environment for space agency operations. Pilots are expected to check appropriate NOTAMs during flight planning when conducting flight in an area where a temporary flight restriction is in effect.
	\glspar\hfill\textit{Source: Pilot's Handbook of Aeronautical Knowledge, FAA, November 2023}}}
</v>
      </c>
    </row>
    <row r="40" spans="1:5" ht="75" x14ac:dyDescent="0.25">
      <c r="A40" s="5" t="s">
        <v>233</v>
      </c>
      <c r="B40" s="5" t="s">
        <v>175</v>
      </c>
      <c r="C40" s="6" t="s">
        <v>213</v>
      </c>
      <c r="D40" s="6" t="s">
        <v>194</v>
      </c>
      <c r="E40" s="6" t="str">
        <f>_xlfn.CONCAT("\newglossaryentry{",Terms[[#This Row],[id]],"}{",CHAR(10),CHAR(9),"name = {",Terms[[#This Row],[name]],"} ,",CHAR(10),CHAR(9),"description = {",Terms[[#This Row],[description]],CHAR(10),CHAR(9),"\glspar\hfill\textit{Source: ",Terms[[#This Row],[source]],"}}}",CHAR(10))</f>
        <v xml:space="preserve">\newglossaryentry{uncontrolled}{
	name = {uncontrolled airspace} ,
	description = {Class G airspace that has not been designated as Class A, B, C, D, or E. It is airspace in which air traffic control has no authority or responsibility to control air traffic; however, pilots should remember there are VFR minimums which apply to this airspace.
	\glspar\hfill\textit{Source: Pilot's Handbook of Aeronautical Knowledge, FAA, November 2023}}}
</v>
      </c>
    </row>
    <row r="41" spans="1:5" ht="90" x14ac:dyDescent="0.25">
      <c r="A41" s="5" t="s">
        <v>67</v>
      </c>
      <c r="B41" s="5" t="s">
        <v>178</v>
      </c>
      <c r="C41" s="6" t="s">
        <v>228</v>
      </c>
      <c r="D41" s="6" t="s">
        <v>215</v>
      </c>
      <c r="E41" s="6" t="str">
        <f>_xlfn.CONCAT("\newglossaryentry{",Terms[[#This Row],[id]],"}{",CHAR(10),CHAR(9),"name = {",Terms[[#This Row],[name]],"} ,",CHAR(10),CHAR(9),"description = {",Terms[[#This Row],[description]],CHAR(10),CHAR(9),"\glspar\hfill\textit{Source: ",Terms[[#This Row],[source]],"}}}",CHAR(10))</f>
        <v xml:space="preserve">\newglossaryentry{uav}{
	name = {Unmanned Aircraft (UA) / Unmanned Aerial Vehicle (UAV)} ,
	description = {A device used or intended to be used for flight that has no onboard pilot. This device can be any type of airplane, helicopter, airship, or powered-lift aircraft. Unmanned free balloons, moored balloons, tethered aircraft, gliders, and unmanned rockets are not considered to be a UA.
	\glspar\hfill\textit{Source: Pilot/Controller Glossary, FAA, August 2025}}}
</v>
      </c>
    </row>
    <row r="42" spans="1:5" ht="90" x14ac:dyDescent="0.25">
      <c r="A42" s="5" t="s">
        <v>66</v>
      </c>
      <c r="B42" s="5" t="s">
        <v>177</v>
      </c>
      <c r="C42" s="6" t="s">
        <v>229</v>
      </c>
      <c r="D42" s="6" t="s">
        <v>215</v>
      </c>
      <c r="E42" s="6" t="str">
        <f>_xlfn.CONCAT("\newglossaryentry{",Terms[[#This Row],[id]],"}{",CHAR(10),CHAR(9),"name = {",Terms[[#This Row],[name]],"} ,",CHAR(10),CHAR(9),"description = {",Terms[[#This Row],[description]],CHAR(10),CHAR(9),"\glspar\hfill\textit{Source: ",Terms[[#This Row],[source]],"}}}",CHAR(10))</f>
        <v xml:space="preserve">\newglossaryentry{uas}{
	name = {Unmanned Aircraft System (UAS)} ,
	description = {An unmanned aircraft and its associated elements related to safe operations, which may include control stations (ground, ship, or air based), control links, support equipment, payloads, flight termination systems, and launch/recovery equipment. It consists of three elements: unmanned aircraft, control station, and data link
	\glspar\hfill\textit{Source: Pilot/Controller Glossary, FAA, August 2025}}}
</v>
      </c>
    </row>
    <row r="43" spans="1:5" ht="75" x14ac:dyDescent="0.25">
      <c r="A43" s="5" t="s">
        <v>71</v>
      </c>
      <c r="B43" s="5" t="s">
        <v>153</v>
      </c>
      <c r="C43" s="6" t="s">
        <v>230</v>
      </c>
      <c r="D43" s="6" t="s">
        <v>215</v>
      </c>
      <c r="E43" s="6" t="str">
        <f>_xlfn.CONCAT("\newglossaryentry{",Terms[[#This Row],[id]],"}{",CHAR(10),CHAR(9),"name = {",Terms[[#This Row],[name]],"} ,",CHAR(10),CHAR(9),"description = {",Terms[[#This Row],[description]],CHAR(10),CHAR(9),"\glspar\hfill\textit{Source: ",Terms[[#This Row],[source]],"}}}",CHAR(10))</f>
        <v xml:space="preserve">\newglossaryentry{vlos}{
	name = {Visual Line of Sight (VLOS)} ,
	description = {Condition of operations wherein the operator maintains continuous, unaided visual contact with the unmanned aircraft
	\glspar\hfill\textit{Source: Pilot/Controller Glossary, FAA, August 2025}}}
</v>
      </c>
    </row>
    <row r="44" spans="1:5" ht="75" x14ac:dyDescent="0.25">
      <c r="A44" s="5" t="s">
        <v>70</v>
      </c>
      <c r="B44" s="5" t="s">
        <v>176</v>
      </c>
      <c r="C44" s="6" t="s">
        <v>231</v>
      </c>
      <c r="D44" s="6" t="s">
        <v>215</v>
      </c>
      <c r="E44" s="6" t="str">
        <f>_xlfn.CONCAT("\newglossaryentry{",Terms[[#This Row],[id]],"}{",CHAR(10),CHAR(9),"name = {",Terms[[#This Row],[name]],"} ,",CHAR(10),CHAR(9),"description = {",Terms[[#This Row],[description]],CHAR(10),CHAR(9),"\glspar\hfill\textit{Source: ",Terms[[#This Row],[source]],"}}}",CHAR(10))</f>
        <v xml:space="preserve">\newglossaryentry{vo}{
	name = {visual observer} ,
	description = {A person who is designated by the remote pilot in command to assist the remote pilot in command and the person operating the flight controls of the small UAS (sUAS) to see and avoid other air traffic or objects aloft or on the ground.
	\glspar\hfill\textit{Source: Pilot/Controller Glossary, FAA, August 2025}}}
</v>
      </c>
    </row>
    <row r="45" spans="1:5" x14ac:dyDescent="0.25">
      <c r="A45" s="5" t="s">
        <v>286</v>
      </c>
      <c r="B45" s="5"/>
      <c r="C45" s="6"/>
      <c r="D45" s="6"/>
      <c r="E45" s="8" t="str">
        <f>_xlfn.CONCAT("\newglossaryentry{",Terms[[#This Row],[id]],"}{",CHAR(10),CHAR(9),"name = {",Terms[[#This Row],[name]],"} ,",CHAR(10),CHAR(9),"description = {",Terms[[#This Row],[description]],CHAR(10),CHAR(9),"\glspar\hfill\textit{Source: ",Terms[[#This Row],[source]],"}}}",CHAR(10))</f>
        <v xml:space="preserve">\newglossaryentry{technician}{
	name = {} ,
	description = {
	\glspar\hfill\textit{Source: }}}
</v>
      </c>
    </row>
  </sheetData>
  <phoneticPr fontId="1" type="noConversion"/>
  <pageMargins left="0.7" right="0.7" top="0.75" bottom="0.75" header="0.3" footer="0.3"/>
  <pageSetup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20ec9f09-f728-4068-af32-a4c8ee44bc0d" xsi:nil="true"/>
    <lcf76f155ced4ddcb4097134ff3c332f xmlns="8d77aace-a734-4b89-b2b4-2ef1aaa02f9a">
      <Terms xmlns="http://schemas.microsoft.com/office/infopath/2007/PartnerControls"/>
    </lcf76f155ced4ddcb4097134ff3c332f>
    <Status xmlns="8d77aace-a734-4b89-b2b4-2ef1aaa02f9a">Developing</Statu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C9C90B3E9855B04BB070398C006E342B" ma:contentTypeVersion="12" ma:contentTypeDescription="Create a new document." ma:contentTypeScope="" ma:versionID="9ff8ae1b4af777b59aa6dcde634d0cd1">
  <xsd:schema xmlns:xsd="http://www.w3.org/2001/XMLSchema" xmlns:xs="http://www.w3.org/2001/XMLSchema" xmlns:p="http://schemas.microsoft.com/office/2006/metadata/properties" xmlns:ns2="8d77aace-a734-4b89-b2b4-2ef1aaa02f9a" xmlns:ns3="20ec9f09-f728-4068-af32-a4c8ee44bc0d" targetNamespace="http://schemas.microsoft.com/office/2006/metadata/properties" ma:root="true" ma:fieldsID="2c2ef2ebbb7fc956fe935ea4ed54c7f9" ns2:_="" ns3:_="">
    <xsd:import namespace="8d77aace-a734-4b89-b2b4-2ef1aaa02f9a"/>
    <xsd:import namespace="20ec9f09-f728-4068-af32-a4c8ee44bc0d"/>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Statu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d77aace-a734-4b89-b2b4-2ef1aaa02f9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4fe196db-0334-4477-9bbc-2f8ce82265de"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Status" ma:index="19" nillable="true" ma:displayName="Status" ma:default="Developing" ma:description="Status of the Brief in Question" ma:format="Dropdown" ma:internalName="Status">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0ec9f09-f728-4068-af32-a4c8ee44bc0d"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85f89122-a409-4223-b9f5-7f45fd151a26}" ma:internalName="TaxCatchAll" ma:showField="CatchAllData" ma:web="20ec9f09-f728-4068-af32-a4c8ee44bc0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9A7599C-D3C5-4A7C-9928-BE6297F35B76}">
  <ds:schemaRefs>
    <ds:schemaRef ds:uri="http://schemas.microsoft.com/office/infopath/2007/PartnerControls"/>
    <ds:schemaRef ds:uri="http://schemas.microsoft.com/office/2006/documentManagement/types"/>
    <ds:schemaRef ds:uri="http://purl.org/dc/dcmitype/"/>
    <ds:schemaRef ds:uri="http://purl.org/dc/elements/1.1/"/>
    <ds:schemaRef ds:uri="http://schemas.microsoft.com/office/2006/metadata/properties"/>
    <ds:schemaRef ds:uri="8d77aace-a734-4b89-b2b4-2ef1aaa02f9a"/>
    <ds:schemaRef ds:uri="http://schemas.openxmlformats.org/package/2006/metadata/core-properties"/>
    <ds:schemaRef ds:uri="20ec9f09-f728-4068-af32-a4c8ee44bc0d"/>
    <ds:schemaRef ds:uri="http://www.w3.org/XML/1998/namespace"/>
    <ds:schemaRef ds:uri="http://purl.org/dc/terms/"/>
  </ds:schemaRefs>
</ds:datastoreItem>
</file>

<file path=customXml/itemProps2.xml><?xml version="1.0" encoding="utf-8"?>
<ds:datastoreItem xmlns:ds="http://schemas.openxmlformats.org/officeDocument/2006/customXml" ds:itemID="{AC0F2E14-B1B1-47B5-B916-600339D01D4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d77aace-a734-4b89-b2b4-2ef1aaa02f9a"/>
    <ds:schemaRef ds:uri="20ec9f09-f728-4068-af32-a4c8ee44bc0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F73E656A-4364-42DB-BFF4-2BC6898175FE}">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Acronyms</vt:lpstr>
      <vt:lpstr>Terms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White, James R (Jamez) SFC USARMY MEDCOM KACH (USA)</dc:creator>
  <cp:lastModifiedBy>White, James R (Jamez) SFC USARMY MEDCOM KACH (USA)</cp:lastModifiedBy>
  <dcterms:created xsi:type="dcterms:W3CDTF">2025-11-12T11:57:12Z</dcterms:created>
  <dcterms:modified xsi:type="dcterms:W3CDTF">2025-11-14T16:43:41Z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0x010100C9C90B3E9855B04BB070398C006E342B</vt:lpwstr>
  </property>
  <property fmtid="{D5CDD505-2E9C-101B-9397-08002B2CF9AE}" pid="3" name="MediaServiceImageTags">
    <vt:lpwstr/>
  </property>
</Properties>
</file>